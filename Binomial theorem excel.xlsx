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Research\DAV  Nazrana Patel\"/>
    </mc:Choice>
  </mc:AlternateContent>
  <bookViews>
    <workbookView xWindow="0" yWindow="0" windowWidth="20490" windowHeight="7755" activeTab="1"/>
  </bookViews>
  <sheets>
    <sheet name="monthly-average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A8" i="2" l="1"/>
  <c r="B8" i="2" s="1"/>
  <c r="A9" i="2"/>
  <c r="B9" i="2" s="1"/>
  <c r="A10" i="2"/>
  <c r="B10" i="2" s="1"/>
  <c r="A11" i="2"/>
  <c r="B11" i="2" s="1"/>
  <c r="A12" i="2"/>
  <c r="B12" i="2" s="1"/>
  <c r="A13" i="2"/>
  <c r="B13" i="2" s="1"/>
  <c r="A14" i="2"/>
  <c r="B14" i="2" s="1"/>
  <c r="A15" i="2"/>
  <c r="B15" i="2" s="1"/>
  <c r="A16" i="2"/>
  <c r="B16" i="2" s="1"/>
  <c r="A17" i="2"/>
  <c r="B17" i="2" s="1"/>
  <c r="A18" i="2"/>
  <c r="B18" i="2" s="1"/>
  <c r="A19" i="2"/>
  <c r="B19" i="2" s="1"/>
  <c r="A20" i="2"/>
  <c r="B20" i="2" s="1"/>
</calcChain>
</file>

<file path=xl/sharedStrings.xml><?xml version="1.0" encoding="utf-8"?>
<sst xmlns="http://schemas.openxmlformats.org/spreadsheetml/2006/main" count="21" uniqueCount="21">
  <si>
    <t>Month</t>
  </si>
  <si>
    <t>London Mean Roadside Nitric Oxide (ug/m3)</t>
  </si>
  <si>
    <t>London Mean Roadside Nitrogen Dioxide (ug/m3)</t>
  </si>
  <si>
    <t>London Mean Roadside Oxides of Nitrogen (ug/m3)</t>
  </si>
  <si>
    <t>London Mean Roadside Ozone (ug/m3)</t>
  </si>
  <si>
    <t>London Mean Roadside PM10 Particulate (ug/m3)</t>
  </si>
  <si>
    <t>London Mean Roadside PM2.5 Particulate (ug/m3)</t>
  </si>
  <si>
    <t>London Mean Roadside Sulphur Dioxide (ug/m3)</t>
  </si>
  <si>
    <t>London Mean Background Nitric Oxide (ug/m3)</t>
  </si>
  <si>
    <t>London Mean Background Nitrogen Dioxide (ug/m3)</t>
  </si>
  <si>
    <t>London Mean Background Oxides of Nitrogen (ug/m3)</t>
  </si>
  <si>
    <t>London Mean Background Ozone (ug/m3)</t>
  </si>
  <si>
    <t>London Mean Background PM10 Particulate (ug/m3)</t>
  </si>
  <si>
    <t>London Mean Background PM2.5 Particulate (ug/m3)</t>
  </si>
  <si>
    <t>London Mean Background Sulphur Dioxide (ug/m3)</t>
  </si>
  <si>
    <t>x</t>
  </si>
  <si>
    <t xml:space="preserve">N </t>
  </si>
  <si>
    <t>p</t>
  </si>
  <si>
    <t>Binomial distribution</t>
  </si>
  <si>
    <t>dataset attribute: London Mean Background Sulphur Dioxide (ug/m3)</t>
  </si>
  <si>
    <t xml:space="preserve">LONDON air quality dataset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</si>
</sst>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London Mean Background Sulphur Dioxide (ug/m3)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Sheet1!$A$7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Sheet1!$A$8:$A$20</c:f>
              <c:numCache>
                <c:formatCode>General</c:formatCode>
                <c:ptCount val="13"/>
                <c:pt idx="0">
                  <c:v>4.2045698924731099</c:v>
                </c:pt>
                <c:pt idx="1">
                  <c:v>3.2309523809523801</c:v>
                </c:pt>
                <c:pt idx="2">
                  <c:v>2.69690860215053</c:v>
                </c:pt>
                <c:pt idx="3">
                  <c:v>4.12361111111111</c:v>
                </c:pt>
                <c:pt idx="4">
                  <c:v>3.1751344086021498</c:v>
                </c:pt>
                <c:pt idx="5">
                  <c:v>3.1831944444444402</c:v>
                </c:pt>
                <c:pt idx="6">
                  <c:v>2.6235215053763401</c:v>
                </c:pt>
                <c:pt idx="7">
                  <c:v>1.9862903225806401</c:v>
                </c:pt>
                <c:pt idx="8">
                  <c:v>2.6813888888888799</c:v>
                </c:pt>
                <c:pt idx="9">
                  <c:v>2.7427419354838598</c:v>
                </c:pt>
                <c:pt idx="10">
                  <c:v>3.6854166666666601</c:v>
                </c:pt>
                <c:pt idx="11">
                  <c:v>3.68360215053763</c:v>
                </c:pt>
                <c:pt idx="12">
                  <c:v>3.4618279569892398</c:v>
                </c:pt>
              </c:numCache>
            </c:numRef>
          </c:val>
        </c:ser>
        <c:ser>
          <c:idx val="1"/>
          <c:order val="1"/>
          <c:tx>
            <c:strRef>
              <c:f>Sheet1!$B$7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Sheet1!$B$8:$B$20</c:f>
              <c:numCache>
                <c:formatCode>General</c:formatCode>
                <c:ptCount val="13"/>
                <c:pt idx="0">
                  <c:v>0.99933456439979063</c:v>
                </c:pt>
                <c:pt idx="1">
                  <c:v>3.3273487288326534E-2</c:v>
                </c:pt>
                <c:pt idx="2">
                  <c:v>0.96075147807609285</c:v>
                </c:pt>
                <c:pt idx="3">
                  <c:v>0.99933456439979063</c:v>
                </c:pt>
                <c:pt idx="4">
                  <c:v>3.3273487288326534E-2</c:v>
                </c:pt>
                <c:pt idx="5">
                  <c:v>3.3273487288326534E-2</c:v>
                </c:pt>
                <c:pt idx="6">
                  <c:v>0.14216853659557702</c:v>
                </c:pt>
                <c:pt idx="7">
                  <c:v>0.37121784555511766</c:v>
                </c:pt>
                <c:pt idx="8">
                  <c:v>0.14216853659557702</c:v>
                </c:pt>
                <c:pt idx="9">
                  <c:v>0.14216853659557702</c:v>
                </c:pt>
                <c:pt idx="10">
                  <c:v>3.3273487288326534E-2</c:v>
                </c:pt>
                <c:pt idx="11">
                  <c:v>3.3273487288326534E-2</c:v>
                </c:pt>
                <c:pt idx="12">
                  <c:v>3.3273487288326534E-2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664288"/>
        <c:axId val="458663112"/>
      </c:barChart>
      <c:catAx>
        <c:axId val="458664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63112"/>
        <c:crosses val="autoZero"/>
        <c:auto val="1"/>
        <c:lblAlgn val="ctr"/>
        <c:lblOffset val="100"/>
        <c:noMultiLvlLbl val="0"/>
      </c:catAx>
      <c:valAx>
        <c:axId val="45866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6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5</xdr:row>
      <xdr:rowOff>4762</xdr:rowOff>
    </xdr:from>
    <xdr:to>
      <xdr:col>12</xdr:col>
      <xdr:colOff>514350</xdr:colOff>
      <xdr:row>21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opLeftCell="F1" workbookViewId="0">
      <selection activeCell="O1" sqref="O1"/>
    </sheetView>
  </sheetViews>
  <sheetFormatPr defaultRowHeight="15" x14ac:dyDescent="0.25"/>
  <cols>
    <col min="1" max="1" width="16.85546875" customWidth="1"/>
    <col min="2" max="2" width="61.140625" customWidth="1"/>
    <col min="3" max="3" width="35" customWidth="1"/>
    <col min="14" max="14" width="38.85546875" customWidth="1"/>
    <col min="15" max="15" width="50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40179</v>
      </c>
      <c r="B2">
        <v>100.50376344086</v>
      </c>
      <c r="C2">
        <v>65.680241935483906</v>
      </c>
      <c r="D2">
        <v>166.412634408602</v>
      </c>
      <c r="E2">
        <v>14.0322580645161</v>
      </c>
      <c r="F2">
        <v>30.172715053763401</v>
      </c>
      <c r="G2">
        <v>24.342741935483801</v>
      </c>
      <c r="H2">
        <v>4.7299731182795597</v>
      </c>
      <c r="I2">
        <v>45.1987903225805</v>
      </c>
      <c r="J2">
        <v>51.902956989247301</v>
      </c>
      <c r="K2">
        <v>97.196370967741998</v>
      </c>
      <c r="L2">
        <v>17.3508064516129</v>
      </c>
      <c r="M2">
        <v>25.039112903225799</v>
      </c>
      <c r="N2">
        <v>22.0844086021505</v>
      </c>
      <c r="O2">
        <v>4.2045698924731099</v>
      </c>
    </row>
    <row r="3" spans="1:15" x14ac:dyDescent="0.25">
      <c r="A3" s="1">
        <v>40210</v>
      </c>
      <c r="B3">
        <v>78.787946428571402</v>
      </c>
      <c r="C3">
        <v>63.870238095238001</v>
      </c>
      <c r="D3">
        <v>142.75089285714199</v>
      </c>
      <c r="E3">
        <v>23.813095238095201</v>
      </c>
      <c r="F3">
        <v>25.194345238095199</v>
      </c>
      <c r="G3">
        <v>18.335119047618999</v>
      </c>
      <c r="H3">
        <v>4.5869047619047603</v>
      </c>
      <c r="I3">
        <v>29.289136904761801</v>
      </c>
      <c r="J3">
        <v>47.654761904761898</v>
      </c>
      <c r="K3">
        <v>76.995982142857201</v>
      </c>
      <c r="L3">
        <v>29.827380952380899</v>
      </c>
      <c r="M3">
        <v>19.404166666666601</v>
      </c>
      <c r="N3">
        <v>15.945982142857099</v>
      </c>
      <c r="O3">
        <v>3.2309523809523801</v>
      </c>
    </row>
    <row r="4" spans="1:15" x14ac:dyDescent="0.25">
      <c r="A4" s="1">
        <v>40238</v>
      </c>
      <c r="B4">
        <v>72.375537634408502</v>
      </c>
      <c r="C4">
        <v>59.8354838709677</v>
      </c>
      <c r="D4">
        <v>120.641666666666</v>
      </c>
      <c r="E4">
        <v>26.4247311827956</v>
      </c>
      <c r="F4">
        <v>25.612903225806399</v>
      </c>
      <c r="G4">
        <v>15.8603494623655</v>
      </c>
      <c r="H4">
        <v>3.42930107526881</v>
      </c>
      <c r="I4">
        <v>22.999059139784901</v>
      </c>
      <c r="J4">
        <v>40.816263440860197</v>
      </c>
      <c r="K4">
        <v>63.824596774193502</v>
      </c>
      <c r="L4">
        <v>42.519354838709603</v>
      </c>
      <c r="M4">
        <v>19.396370967741898</v>
      </c>
      <c r="N4">
        <v>14.077822580645099</v>
      </c>
      <c r="O4">
        <v>2.69690860215053</v>
      </c>
    </row>
    <row r="5" spans="1:15" x14ac:dyDescent="0.25">
      <c r="A5" s="1">
        <v>40269</v>
      </c>
      <c r="B5">
        <v>63.911111111111097</v>
      </c>
      <c r="C5">
        <v>60.154444444444401</v>
      </c>
      <c r="D5">
        <v>124.04694444444399</v>
      </c>
      <c r="E5">
        <v>37.173333333333296</v>
      </c>
      <c r="F5">
        <v>29.757361111111098</v>
      </c>
      <c r="G5">
        <v>18.816527777777701</v>
      </c>
      <c r="H5">
        <v>4.6402777777777704</v>
      </c>
      <c r="I5">
        <v>20.907499999999999</v>
      </c>
      <c r="J5">
        <v>41.904166666666598</v>
      </c>
      <c r="K5">
        <v>62.830972222222201</v>
      </c>
      <c r="L5">
        <v>50.2083333333333</v>
      </c>
      <c r="M5">
        <v>24.330416666666601</v>
      </c>
      <c r="N5">
        <v>16.269583333333301</v>
      </c>
      <c r="O5">
        <v>4.12361111111111</v>
      </c>
    </row>
    <row r="6" spans="1:15" x14ac:dyDescent="0.25">
      <c r="A6" s="1">
        <v>40299</v>
      </c>
      <c r="B6">
        <v>60.860887096774199</v>
      </c>
      <c r="C6">
        <v>53.230107526881703</v>
      </c>
      <c r="D6">
        <v>114.09690860214999</v>
      </c>
      <c r="E6">
        <v>35.091263440860203</v>
      </c>
      <c r="F6">
        <v>24.535349462365499</v>
      </c>
      <c r="G6">
        <v>16.191129032258001</v>
      </c>
      <c r="H6">
        <v>3.8834677419354802</v>
      </c>
      <c r="I6">
        <v>17.3239247311828</v>
      </c>
      <c r="J6">
        <v>33.097043010752699</v>
      </c>
      <c r="K6">
        <v>50.479301075268801</v>
      </c>
      <c r="L6">
        <v>47.232795698924697</v>
      </c>
      <c r="M6">
        <v>19.8599462365591</v>
      </c>
      <c r="N6">
        <v>13.231317204301</v>
      </c>
      <c r="O6">
        <v>3.1751344086021498</v>
      </c>
    </row>
    <row r="7" spans="1:15" x14ac:dyDescent="0.25">
      <c r="A7" s="1">
        <v>40330</v>
      </c>
      <c r="B7">
        <v>55.218472222222204</v>
      </c>
      <c r="C7">
        <v>53.858611111111102</v>
      </c>
      <c r="D7">
        <v>109.1</v>
      </c>
      <c r="E7">
        <v>34.009722222222102</v>
      </c>
      <c r="F7">
        <v>26.518055555555499</v>
      </c>
      <c r="G7">
        <v>17.441944444444399</v>
      </c>
      <c r="H7">
        <v>4.4145833333333302</v>
      </c>
      <c r="I7">
        <v>13.358055555555501</v>
      </c>
      <c r="J7">
        <v>33.682222222222101</v>
      </c>
      <c r="K7">
        <v>47.082916666666598</v>
      </c>
      <c r="L7">
        <v>50.1759722222222</v>
      </c>
      <c r="M7">
        <v>21.970833333333299</v>
      </c>
      <c r="N7">
        <v>15.0754166666666</v>
      </c>
      <c r="O7">
        <v>3.1831944444444402</v>
      </c>
    </row>
    <row r="8" spans="1:15" x14ac:dyDescent="0.25">
      <c r="A8" s="1">
        <v>40360</v>
      </c>
      <c r="B8">
        <v>58.707123655914003</v>
      </c>
      <c r="C8">
        <v>46.508602150537598</v>
      </c>
      <c r="D8">
        <v>105.241801075268</v>
      </c>
      <c r="E8">
        <v>28.566801075268799</v>
      </c>
      <c r="F8">
        <v>20.901075268817198</v>
      </c>
      <c r="G8">
        <v>12.453360215053699</v>
      </c>
      <c r="H8">
        <v>3.1389784946236499</v>
      </c>
      <c r="I8">
        <v>11.5341397849462</v>
      </c>
      <c r="J8">
        <v>25.1088709677419</v>
      </c>
      <c r="K8">
        <v>36.626344086021497</v>
      </c>
      <c r="L8">
        <v>42.7522849462365</v>
      </c>
      <c r="M8">
        <v>16.523655913978399</v>
      </c>
      <c r="N8">
        <v>8.9344086021505298</v>
      </c>
      <c r="O8">
        <v>2.6235215053763401</v>
      </c>
    </row>
    <row r="9" spans="1:15" x14ac:dyDescent="0.25">
      <c r="A9" s="1">
        <v>40391</v>
      </c>
      <c r="B9">
        <v>60.603763440860199</v>
      </c>
      <c r="C9">
        <v>46.615188172042899</v>
      </c>
      <c r="D9">
        <v>107.245833333333</v>
      </c>
      <c r="E9">
        <v>24.2510752688172</v>
      </c>
      <c r="F9">
        <v>18.140994623655899</v>
      </c>
      <c r="G9">
        <v>10.9744623655913</v>
      </c>
      <c r="H9">
        <v>3.2559139784946201</v>
      </c>
      <c r="I9">
        <v>12.9559139784946</v>
      </c>
      <c r="J9">
        <v>26.1376344086021</v>
      </c>
      <c r="K9">
        <v>39.064112903225698</v>
      </c>
      <c r="L9">
        <v>35.898790322580602</v>
      </c>
      <c r="M9">
        <v>15.361290322580601</v>
      </c>
      <c r="N9">
        <v>8.9446236559139702</v>
      </c>
      <c r="O9">
        <v>1.9862903225806401</v>
      </c>
    </row>
    <row r="10" spans="1:15" x14ac:dyDescent="0.25">
      <c r="A10" s="1">
        <v>40422</v>
      </c>
      <c r="B10">
        <v>78.137916666666499</v>
      </c>
      <c r="C10">
        <v>57.153194444444402</v>
      </c>
      <c r="D10">
        <v>135.34597222222101</v>
      </c>
      <c r="E10">
        <v>20.3431944444444</v>
      </c>
      <c r="F10">
        <v>23.8252777777777</v>
      </c>
      <c r="G10">
        <v>14.459583333333301</v>
      </c>
      <c r="H10">
        <v>3.5938888888888898</v>
      </c>
      <c r="I10">
        <v>23.937916666666599</v>
      </c>
      <c r="J10">
        <v>35.427777777777699</v>
      </c>
      <c r="K10">
        <v>59.377222222222201</v>
      </c>
      <c r="L10">
        <v>31.8090277777777</v>
      </c>
      <c r="M10">
        <v>14.4855555555555</v>
      </c>
      <c r="N10">
        <v>11.435555555555499</v>
      </c>
      <c r="O10">
        <v>2.6813888888888799</v>
      </c>
    </row>
    <row r="11" spans="1:15" x14ac:dyDescent="0.25">
      <c r="A11" s="1">
        <v>40452</v>
      </c>
      <c r="B11">
        <v>82.048252688171999</v>
      </c>
      <c r="C11">
        <v>59.568682795698798</v>
      </c>
      <c r="D11">
        <v>141.59301075268701</v>
      </c>
      <c r="E11">
        <v>19.227553763440799</v>
      </c>
      <c r="F11">
        <v>25.240860215053701</v>
      </c>
      <c r="G11">
        <v>15.9061827956989</v>
      </c>
      <c r="H11">
        <v>3.5498655913978401</v>
      </c>
      <c r="I11">
        <v>30.712231182795598</v>
      </c>
      <c r="J11">
        <v>38.484811827956896</v>
      </c>
      <c r="K11">
        <v>69.2014784946237</v>
      </c>
      <c r="L11">
        <v>27.729973118279499</v>
      </c>
      <c r="M11">
        <v>19.9524193548387</v>
      </c>
      <c r="N11">
        <v>12.9655913978494</v>
      </c>
      <c r="O11">
        <v>2.7427419354838598</v>
      </c>
    </row>
    <row r="12" spans="1:15" x14ac:dyDescent="0.25">
      <c r="A12" s="1">
        <v>40483</v>
      </c>
      <c r="B12">
        <v>116.555972222222</v>
      </c>
      <c r="C12">
        <v>65.6701388888888</v>
      </c>
      <c r="D12">
        <v>182.23930555555501</v>
      </c>
      <c r="E12">
        <v>15.441805555555501</v>
      </c>
      <c r="F12">
        <v>28.232222222222202</v>
      </c>
      <c r="G12">
        <v>21.892916666666601</v>
      </c>
      <c r="H12">
        <v>4.1670833333333297</v>
      </c>
      <c r="I12">
        <v>60.600833333333298</v>
      </c>
      <c r="J12">
        <v>46.8795833333334</v>
      </c>
      <c r="K12">
        <v>107.458333333333</v>
      </c>
      <c r="L12">
        <v>20.4166666666666</v>
      </c>
      <c r="M12">
        <v>22.530555555555502</v>
      </c>
      <c r="N12">
        <v>18.197500000000002</v>
      </c>
      <c r="O12">
        <v>3.6854166666666601</v>
      </c>
    </row>
    <row r="13" spans="1:15" x14ac:dyDescent="0.25">
      <c r="A13" s="1">
        <v>40513</v>
      </c>
      <c r="B13">
        <v>111.171774193548</v>
      </c>
      <c r="C13">
        <v>71.321505376344007</v>
      </c>
      <c r="D13">
        <v>182.40349462365501</v>
      </c>
      <c r="E13">
        <v>10.658198924731099</v>
      </c>
      <c r="F13">
        <v>27.1930107526881</v>
      </c>
      <c r="G13">
        <v>22.613709677419301</v>
      </c>
      <c r="H13">
        <v>3.90470430107526</v>
      </c>
      <c r="I13">
        <v>54.852150537634301</v>
      </c>
      <c r="J13">
        <v>53.892204301075203</v>
      </c>
      <c r="K13">
        <v>108.80013440860201</v>
      </c>
      <c r="L13">
        <v>13.869489247311799</v>
      </c>
      <c r="M13">
        <v>21.691801075268799</v>
      </c>
      <c r="N13">
        <v>19.242607526881699</v>
      </c>
      <c r="O13">
        <v>3.68360215053763</v>
      </c>
    </row>
    <row r="14" spans="1:15" x14ac:dyDescent="0.25">
      <c r="A14" s="1">
        <v>40544</v>
      </c>
      <c r="B14">
        <v>78.136693548387001</v>
      </c>
      <c r="C14">
        <v>61.809274193548298</v>
      </c>
      <c r="D14">
        <v>139.96532258064499</v>
      </c>
      <c r="E14">
        <v>21.4860215053763</v>
      </c>
      <c r="F14">
        <v>24.355645161290301</v>
      </c>
      <c r="G14">
        <v>16.981586021505301</v>
      </c>
      <c r="H14">
        <v>3.38131720430107</v>
      </c>
      <c r="I14">
        <v>31.905376344085902</v>
      </c>
      <c r="J14">
        <v>44.3727150537634</v>
      </c>
      <c r="K14">
        <v>76.395161290322605</v>
      </c>
      <c r="L14">
        <v>26.486424731182801</v>
      </c>
      <c r="M14">
        <v>19.390860215053699</v>
      </c>
      <c r="N14">
        <v>14.641935483870901</v>
      </c>
      <c r="O14">
        <v>3.4618279569892398</v>
      </c>
    </row>
    <row r="15" spans="1:15" x14ac:dyDescent="0.25">
      <c r="A15" s="1">
        <v>40575</v>
      </c>
      <c r="B15">
        <v>81.109077380952399</v>
      </c>
      <c r="C15">
        <v>60.358482142857099</v>
      </c>
      <c r="D15">
        <v>141.38616071428501</v>
      </c>
      <c r="E15">
        <v>23.4973214285714</v>
      </c>
      <c r="F15">
        <v>32.575595238095197</v>
      </c>
      <c r="G15">
        <v>24.337053571428498</v>
      </c>
      <c r="H15">
        <v>2.8989583333333302</v>
      </c>
      <c r="I15">
        <v>25.783035714285699</v>
      </c>
      <c r="J15">
        <v>41.191220238095198</v>
      </c>
      <c r="K15">
        <v>66.611011904761895</v>
      </c>
      <c r="L15">
        <v>31.336309523809401</v>
      </c>
      <c r="M15">
        <v>26.518452380952301</v>
      </c>
      <c r="N15">
        <v>19.871577380952299</v>
      </c>
      <c r="O15">
        <v>2.3416666666666601</v>
      </c>
    </row>
    <row r="16" spans="1:15" x14ac:dyDescent="0.25">
      <c r="A16" s="1">
        <v>40603</v>
      </c>
      <c r="B16">
        <v>94.672715053763397</v>
      </c>
      <c r="C16">
        <v>68.964784946236605</v>
      </c>
      <c r="D16">
        <v>163.53776881720401</v>
      </c>
      <c r="E16">
        <v>23.043682795698899</v>
      </c>
      <c r="F16">
        <v>43.314919354838601</v>
      </c>
      <c r="G16">
        <v>32.5807795698924</v>
      </c>
      <c r="H16">
        <v>3.8038978494623601</v>
      </c>
      <c r="I16">
        <v>36.554301075268803</v>
      </c>
      <c r="J16">
        <v>49.697983870967697</v>
      </c>
      <c r="K16">
        <v>86.2728494623655</v>
      </c>
      <c r="L16">
        <v>32.502016129032199</v>
      </c>
      <c r="M16">
        <v>36.9326612903225</v>
      </c>
      <c r="N16">
        <v>29.912365591397801</v>
      </c>
      <c r="O16">
        <v>4.12379032258064</v>
      </c>
    </row>
    <row r="17" spans="1:15" x14ac:dyDescent="0.25">
      <c r="A17" s="1">
        <v>40634</v>
      </c>
      <c r="B17">
        <v>64.419583333333307</v>
      </c>
      <c r="C17">
        <v>63.4004166666667</v>
      </c>
      <c r="D17">
        <v>127.75666666666601</v>
      </c>
      <c r="E17">
        <v>38.7013888888888</v>
      </c>
      <c r="F17">
        <v>39.2297222222222</v>
      </c>
      <c r="G17">
        <v>28.227361111111101</v>
      </c>
      <c r="H17">
        <v>3.1230555555555499</v>
      </c>
      <c r="I17">
        <v>17.335555555555501</v>
      </c>
      <c r="J17">
        <v>40.383888888888798</v>
      </c>
      <c r="K17">
        <v>57.697083333333197</v>
      </c>
      <c r="L17">
        <v>52.865833333333299</v>
      </c>
      <c r="M17">
        <v>34.191388888888802</v>
      </c>
      <c r="N17">
        <v>25.639027777777699</v>
      </c>
      <c r="O17">
        <v>4.4147222222222204</v>
      </c>
    </row>
    <row r="18" spans="1:15" x14ac:dyDescent="0.25">
      <c r="A18" s="1">
        <v>40664</v>
      </c>
      <c r="B18">
        <v>50.153360215053702</v>
      </c>
      <c r="C18">
        <v>49.428360215053701</v>
      </c>
      <c r="D18">
        <v>99.514919354838696</v>
      </c>
      <c r="E18">
        <v>42.354435483871001</v>
      </c>
      <c r="F18">
        <v>23.683602150537599</v>
      </c>
      <c r="G18">
        <v>13.035887096774101</v>
      </c>
      <c r="H18">
        <v>2.40497311827956</v>
      </c>
      <c r="I18">
        <v>9.6657258064516203</v>
      </c>
      <c r="J18">
        <v>26.245698924731101</v>
      </c>
      <c r="K18">
        <v>35.917204301075202</v>
      </c>
      <c r="L18">
        <v>57.422580645161197</v>
      </c>
      <c r="M18">
        <v>19.1227150537634</v>
      </c>
      <c r="N18">
        <v>11.310483870967699</v>
      </c>
      <c r="O18">
        <v>3.2157258064516099</v>
      </c>
    </row>
    <row r="19" spans="1:15" x14ac:dyDescent="0.25">
      <c r="A19" s="1">
        <v>40695</v>
      </c>
      <c r="B19">
        <v>46.361249999999998</v>
      </c>
      <c r="C19">
        <v>50.095277777777703</v>
      </c>
      <c r="D19">
        <v>111.034999999999</v>
      </c>
      <c r="E19">
        <v>30.2731944444444</v>
      </c>
      <c r="F19">
        <v>20.684999999999999</v>
      </c>
      <c r="G19">
        <v>12.025555555555499</v>
      </c>
      <c r="H19">
        <v>2.25</v>
      </c>
      <c r="I19">
        <v>12.1829166666666</v>
      </c>
      <c r="J19">
        <v>25.5098611111111</v>
      </c>
      <c r="K19">
        <v>37.701249999999902</v>
      </c>
      <c r="L19">
        <v>43.067916666666598</v>
      </c>
      <c r="M19">
        <v>15.737222222222201</v>
      </c>
      <c r="N19">
        <v>10.531249999999901</v>
      </c>
      <c r="O19">
        <v>2.7891666666666599</v>
      </c>
    </row>
    <row r="20" spans="1:15" x14ac:dyDescent="0.25">
      <c r="A20" s="1">
        <v>40725</v>
      </c>
      <c r="B20">
        <v>60.833467741935401</v>
      </c>
      <c r="C20">
        <v>51.489516129032197</v>
      </c>
      <c r="D20">
        <v>112.279166666666</v>
      </c>
      <c r="E20">
        <v>32.841801075268798</v>
      </c>
      <c r="F20">
        <v>21.027419354838699</v>
      </c>
      <c r="G20">
        <v>12.782661290322499</v>
      </c>
      <c r="H20">
        <v>2.55725806451612</v>
      </c>
      <c r="I20">
        <v>11.6565860215053</v>
      </c>
      <c r="J20">
        <v>25.9201612903226</v>
      </c>
      <c r="K20">
        <v>37.572715053763403</v>
      </c>
      <c r="L20">
        <v>45.968413978494603</v>
      </c>
      <c r="M20">
        <v>16.734005376344001</v>
      </c>
      <c r="N20">
        <v>11.5397849462365</v>
      </c>
      <c r="O20">
        <v>2.5624999999999898</v>
      </c>
    </row>
    <row r="21" spans="1:15" x14ac:dyDescent="0.25">
      <c r="A21" s="1">
        <v>40756</v>
      </c>
      <c r="B21">
        <v>72.267069892473003</v>
      </c>
      <c r="C21">
        <v>42.186962365591398</v>
      </c>
      <c r="D21">
        <v>124.06814516129</v>
      </c>
      <c r="E21">
        <v>23.183467741935399</v>
      </c>
      <c r="F21">
        <v>20.4315860215053</v>
      </c>
      <c r="G21">
        <v>11.8645161290322</v>
      </c>
      <c r="H21">
        <v>2.9463709677419301</v>
      </c>
      <c r="I21">
        <v>14.2159946236559</v>
      </c>
      <c r="J21">
        <v>21.2119623655914</v>
      </c>
      <c r="K21">
        <v>31.694892473118301</v>
      </c>
      <c r="L21">
        <v>27.084946236559102</v>
      </c>
      <c r="M21">
        <v>12.053629032258</v>
      </c>
      <c r="N21">
        <v>10.3870967741935</v>
      </c>
      <c r="O21">
        <v>3.1955645161290298</v>
      </c>
    </row>
    <row r="22" spans="1:15" x14ac:dyDescent="0.25">
      <c r="A22" s="1">
        <v>40787</v>
      </c>
      <c r="B22">
        <v>87.576527777777699</v>
      </c>
      <c r="C22">
        <v>55.564583333333204</v>
      </c>
      <c r="D22">
        <v>143.14750000000001</v>
      </c>
      <c r="E22">
        <v>24.066111111111098</v>
      </c>
      <c r="F22">
        <v>26.448333333333299</v>
      </c>
      <c r="G22">
        <v>14.876944444444399</v>
      </c>
      <c r="H22">
        <v>2.1326388888888901</v>
      </c>
      <c r="I22">
        <v>22.2884722222222</v>
      </c>
      <c r="J22">
        <v>31.423194444444398</v>
      </c>
      <c r="K22">
        <v>53.717499999999902</v>
      </c>
      <c r="L22">
        <v>34.137361111111098</v>
      </c>
      <c r="M22">
        <v>20.327916666666599</v>
      </c>
      <c r="N22">
        <v>12.9169444444444</v>
      </c>
      <c r="O22">
        <v>3.7908333333333299</v>
      </c>
    </row>
    <row r="23" spans="1:15" x14ac:dyDescent="0.25">
      <c r="A23" s="1">
        <v>40817</v>
      </c>
      <c r="B23">
        <v>92.137903225806397</v>
      </c>
      <c r="C23">
        <v>60.072446236559102</v>
      </c>
      <c r="D23">
        <v>152.20954301075199</v>
      </c>
      <c r="E23">
        <v>22.618279569892401</v>
      </c>
      <c r="F23">
        <v>25.491263440860202</v>
      </c>
      <c r="G23">
        <v>14.716801075268799</v>
      </c>
      <c r="H23">
        <v>2.8177419354838702</v>
      </c>
      <c r="I23">
        <v>27.246505376344</v>
      </c>
      <c r="J23">
        <v>37.297043010752603</v>
      </c>
      <c r="K23">
        <v>64.553360215053701</v>
      </c>
      <c r="L23">
        <v>30.148252688172001</v>
      </c>
      <c r="M23">
        <v>18.948790322580599</v>
      </c>
      <c r="N23">
        <v>14.0341397849462</v>
      </c>
      <c r="O23">
        <v>4.22956989247312</v>
      </c>
    </row>
    <row r="24" spans="1:15" x14ac:dyDescent="0.25">
      <c r="A24" s="1">
        <v>40848</v>
      </c>
      <c r="B24">
        <v>122.797499999999</v>
      </c>
      <c r="C24">
        <v>48.763611111111103</v>
      </c>
      <c r="D24">
        <v>186.72</v>
      </c>
      <c r="E24">
        <v>10.918472222222199</v>
      </c>
      <c r="F24">
        <v>35.426111111110998</v>
      </c>
      <c r="G24">
        <v>25.161944444444401</v>
      </c>
      <c r="H24">
        <v>3.40777777777777</v>
      </c>
      <c r="I24">
        <v>45.371111111111098</v>
      </c>
      <c r="J24">
        <v>42.585416666666603</v>
      </c>
      <c r="K24">
        <v>87.945277777777804</v>
      </c>
      <c r="L24">
        <v>17.315833333333298</v>
      </c>
      <c r="M24">
        <v>27.8151388888889</v>
      </c>
      <c r="N24">
        <v>23.5034722222222</v>
      </c>
      <c r="O24">
        <v>5.12624999999999</v>
      </c>
    </row>
    <row r="25" spans="1:15" x14ac:dyDescent="0.25">
      <c r="A25" s="1">
        <v>40878</v>
      </c>
      <c r="B25">
        <v>79.352956989247204</v>
      </c>
      <c r="C25">
        <v>58.116801075268803</v>
      </c>
      <c r="D25">
        <v>137.48454301075199</v>
      </c>
      <c r="E25">
        <v>25.8588709677419</v>
      </c>
      <c r="F25">
        <v>19.075940860214999</v>
      </c>
      <c r="G25">
        <v>9.1905913978494702</v>
      </c>
      <c r="H25">
        <v>2.9268817204300999</v>
      </c>
      <c r="I25">
        <v>17.729569892473101</v>
      </c>
      <c r="J25">
        <v>36.048252688171999</v>
      </c>
      <c r="K25">
        <v>53.774462365591397</v>
      </c>
      <c r="L25">
        <v>33.648521505376301</v>
      </c>
      <c r="M25">
        <v>12.891532258064499</v>
      </c>
      <c r="N25">
        <v>9.5094086021505309</v>
      </c>
      <c r="O25">
        <v>4.0952956989247298</v>
      </c>
    </row>
    <row r="26" spans="1:15" x14ac:dyDescent="0.25">
      <c r="A26" s="1">
        <v>40909</v>
      </c>
      <c r="B26">
        <v>103.934139784946</v>
      </c>
      <c r="C26">
        <v>62.338978494623603</v>
      </c>
      <c r="D26">
        <v>166.278897849462</v>
      </c>
      <c r="E26">
        <v>20.617204301075201</v>
      </c>
      <c r="F26">
        <v>26.527150537634402</v>
      </c>
      <c r="G26">
        <v>15.8014784946236</v>
      </c>
      <c r="H26">
        <v>2.97862903225806</v>
      </c>
      <c r="I26">
        <v>37.593145161290202</v>
      </c>
      <c r="J26">
        <v>40.631317204301098</v>
      </c>
      <c r="K26">
        <v>78.224865591397801</v>
      </c>
      <c r="L26">
        <v>27.4431451612903</v>
      </c>
      <c r="M26">
        <v>19.9870967741935</v>
      </c>
      <c r="N26">
        <v>15.168548387096701</v>
      </c>
      <c r="O26">
        <v>4.0293010752688199</v>
      </c>
    </row>
    <row r="27" spans="1:15" x14ac:dyDescent="0.25">
      <c r="A27" s="1">
        <v>40940</v>
      </c>
      <c r="B27">
        <v>109.763936781609</v>
      </c>
      <c r="C27">
        <v>69.870545977011403</v>
      </c>
      <c r="D27">
        <v>179.65574712643601</v>
      </c>
      <c r="E27">
        <v>19.751867816091899</v>
      </c>
      <c r="F27">
        <v>35.0215517241379</v>
      </c>
      <c r="G27">
        <v>21.472413793103399</v>
      </c>
      <c r="H27">
        <v>3.5106321839080401</v>
      </c>
      <c r="I27">
        <v>35.871264367816103</v>
      </c>
      <c r="J27">
        <v>45.604454022988399</v>
      </c>
      <c r="K27">
        <v>81.475718390804602</v>
      </c>
      <c r="L27">
        <v>27.1596264367816</v>
      </c>
      <c r="M27">
        <v>26.023419540229799</v>
      </c>
      <c r="N27">
        <v>20.907758620689599</v>
      </c>
      <c r="O27">
        <v>4.1573275862069003</v>
      </c>
    </row>
    <row r="28" spans="1:15" x14ac:dyDescent="0.25">
      <c r="A28" s="1">
        <v>40969</v>
      </c>
      <c r="B28">
        <v>110.61801075268799</v>
      </c>
      <c r="C28">
        <v>72.816801075268899</v>
      </c>
      <c r="D28">
        <v>183.44435483870899</v>
      </c>
      <c r="E28">
        <v>20.9869623655913</v>
      </c>
      <c r="F28">
        <v>42.597311827957</v>
      </c>
      <c r="G28">
        <v>30.324999999999999</v>
      </c>
      <c r="H28">
        <v>3.6518817204301</v>
      </c>
      <c r="I28">
        <v>38.054301075268803</v>
      </c>
      <c r="J28">
        <v>47.597043010752699</v>
      </c>
      <c r="K28">
        <v>85.645564516128999</v>
      </c>
      <c r="L28">
        <v>28.570564516129</v>
      </c>
      <c r="M28">
        <v>35.534139784946198</v>
      </c>
      <c r="N28">
        <v>28.451075268817199</v>
      </c>
      <c r="O28">
        <v>5.0388440860215002</v>
      </c>
    </row>
    <row r="29" spans="1:15" x14ac:dyDescent="0.25">
      <c r="A29" s="1">
        <v>41000</v>
      </c>
      <c r="B29">
        <v>70.257777777777704</v>
      </c>
      <c r="C29">
        <v>59.010694444444397</v>
      </c>
      <c r="D29">
        <v>129.28291666666601</v>
      </c>
      <c r="E29">
        <v>40.848055555555497</v>
      </c>
      <c r="F29">
        <v>21.821944444444402</v>
      </c>
      <c r="G29">
        <v>13.3325</v>
      </c>
      <c r="H29">
        <v>2.2127777777777702</v>
      </c>
      <c r="I29">
        <v>12.7872222222222</v>
      </c>
      <c r="J29">
        <v>31.865833333333299</v>
      </c>
      <c r="K29">
        <v>44.654861111111103</v>
      </c>
      <c r="L29">
        <v>52.838194444444298</v>
      </c>
      <c r="M29">
        <v>16.027083333333302</v>
      </c>
      <c r="N29">
        <v>11.6275</v>
      </c>
      <c r="O29">
        <v>3.9068055555555499</v>
      </c>
    </row>
    <row r="30" spans="1:15" x14ac:dyDescent="0.25">
      <c r="A30" s="1">
        <v>41030</v>
      </c>
      <c r="B30">
        <v>63.035887096774303</v>
      </c>
      <c r="C30">
        <v>57.462096774193498</v>
      </c>
      <c r="D30">
        <v>120.511155913978</v>
      </c>
      <c r="E30">
        <v>43.151478494623603</v>
      </c>
      <c r="F30">
        <v>29.440053763440801</v>
      </c>
      <c r="G30">
        <v>18.6248655913978</v>
      </c>
      <c r="H30">
        <v>2.4377688172042999</v>
      </c>
      <c r="I30">
        <v>9.5993279569892405</v>
      </c>
      <c r="J30">
        <v>29.621774193548301</v>
      </c>
      <c r="K30">
        <v>39.219220430107399</v>
      </c>
      <c r="L30">
        <v>56.757526881720402</v>
      </c>
      <c r="M30">
        <v>23.460080645161302</v>
      </c>
      <c r="N30">
        <v>16.170564516129001</v>
      </c>
      <c r="O30">
        <v>3.47150537634408</v>
      </c>
    </row>
    <row r="31" spans="1:15" x14ac:dyDescent="0.25">
      <c r="A31" s="1">
        <v>41061</v>
      </c>
      <c r="B31">
        <v>60.891388888888798</v>
      </c>
      <c r="C31">
        <v>47.0440277777777</v>
      </c>
      <c r="D31">
        <v>107.94305555555501</v>
      </c>
      <c r="E31">
        <v>36.942638888888901</v>
      </c>
      <c r="F31">
        <v>21.406805555555501</v>
      </c>
      <c r="G31">
        <v>11.9131944444444</v>
      </c>
      <c r="H31">
        <v>2.0887500000000001</v>
      </c>
      <c r="I31">
        <v>10.721111111111099</v>
      </c>
      <c r="J31">
        <v>24.297916666666602</v>
      </c>
      <c r="K31">
        <v>35.025277777777802</v>
      </c>
      <c r="L31">
        <v>47.142083333333197</v>
      </c>
      <c r="M31">
        <v>15.76375</v>
      </c>
      <c r="N31">
        <v>9.1244444444444497</v>
      </c>
      <c r="O31">
        <v>3.1526388888888901</v>
      </c>
    </row>
    <row r="32" spans="1:15" x14ac:dyDescent="0.25">
      <c r="A32" s="1">
        <v>41091</v>
      </c>
      <c r="B32">
        <v>73.336693548386904</v>
      </c>
      <c r="C32">
        <v>52.7778225806451</v>
      </c>
      <c r="D32">
        <v>126.12688172043001</v>
      </c>
      <c r="E32">
        <v>29.2196236559139</v>
      </c>
      <c r="F32">
        <v>22.1284946236559</v>
      </c>
      <c r="G32">
        <v>12.819623655913899</v>
      </c>
      <c r="H32">
        <v>2.3786290322580599</v>
      </c>
      <c r="I32">
        <v>11.9096774193548</v>
      </c>
      <c r="J32">
        <v>26.781989247311799</v>
      </c>
      <c r="K32">
        <v>38.690188172042902</v>
      </c>
      <c r="L32">
        <v>40.394623655914003</v>
      </c>
      <c r="M32">
        <v>15.6458333333333</v>
      </c>
      <c r="N32">
        <v>9.1141129032258092</v>
      </c>
      <c r="O32">
        <v>3.8725806451612899</v>
      </c>
    </row>
    <row r="33" spans="1:15" x14ac:dyDescent="0.25">
      <c r="A33" s="1">
        <v>41122</v>
      </c>
      <c r="B33">
        <v>70.638306451612806</v>
      </c>
      <c r="C33">
        <v>52.077284946236503</v>
      </c>
      <c r="D33">
        <v>122.75416666666599</v>
      </c>
      <c r="E33">
        <v>27.777956989247301</v>
      </c>
      <c r="F33">
        <v>23.7498655913978</v>
      </c>
      <c r="G33">
        <v>13.707392473118199</v>
      </c>
      <c r="H33">
        <v>2.38427419354838</v>
      </c>
      <c r="I33">
        <v>12.452688172043</v>
      </c>
      <c r="J33">
        <v>28.134005376344</v>
      </c>
      <c r="K33">
        <v>40.589784946236499</v>
      </c>
      <c r="L33">
        <v>39.481720430107501</v>
      </c>
      <c r="M33">
        <v>17.040725806451601</v>
      </c>
      <c r="N33">
        <v>9.5768817204301104</v>
      </c>
      <c r="O33">
        <v>3.2678763440860199</v>
      </c>
    </row>
    <row r="34" spans="1:15" x14ac:dyDescent="0.25">
      <c r="A34" s="1">
        <v>41153</v>
      </c>
      <c r="B34">
        <v>84.612638888888895</v>
      </c>
      <c r="C34">
        <v>57.416249999999899</v>
      </c>
      <c r="D34">
        <v>142.08777777777701</v>
      </c>
      <c r="E34">
        <v>24.969861111111101</v>
      </c>
      <c r="F34">
        <v>22.533611111111</v>
      </c>
      <c r="G34">
        <v>12.38</v>
      </c>
      <c r="H34">
        <v>2.89333333333333</v>
      </c>
      <c r="I34">
        <v>17.8330555555555</v>
      </c>
      <c r="J34">
        <v>33.53</v>
      </c>
      <c r="K34">
        <v>51.360833333333296</v>
      </c>
      <c r="L34">
        <v>33.686527777777698</v>
      </c>
      <c r="M34">
        <v>16.060972222222201</v>
      </c>
      <c r="N34">
        <v>9.2622222222222295</v>
      </c>
      <c r="O34">
        <v>3.9687499999999898</v>
      </c>
    </row>
    <row r="35" spans="1:15" x14ac:dyDescent="0.25">
      <c r="A35" s="1">
        <v>41183</v>
      </c>
      <c r="B35">
        <v>95.315994623655797</v>
      </c>
      <c r="C35">
        <v>58.7129032258064</v>
      </c>
      <c r="D35">
        <v>154.13991935483801</v>
      </c>
      <c r="E35">
        <v>18.958602150537601</v>
      </c>
      <c r="F35">
        <v>24.554569892473101</v>
      </c>
      <c r="G35">
        <v>15.780913978494601</v>
      </c>
      <c r="H35">
        <v>3.7521505376344</v>
      </c>
      <c r="I35">
        <v>24.8471774193548</v>
      </c>
      <c r="J35">
        <v>35.060887096774103</v>
      </c>
      <c r="K35">
        <v>59.906317204300997</v>
      </c>
      <c r="L35">
        <v>25.4130376344085</v>
      </c>
      <c r="M35">
        <v>17.4040322580645</v>
      </c>
      <c r="N35">
        <v>11.433064516129001</v>
      </c>
      <c r="O35">
        <v>4.0321236559139804</v>
      </c>
    </row>
    <row r="36" spans="1:15" x14ac:dyDescent="0.25">
      <c r="A36" s="1">
        <v>41214</v>
      </c>
      <c r="B36">
        <v>128.598472222222</v>
      </c>
      <c r="C36">
        <v>69.585138888888807</v>
      </c>
      <c r="D36">
        <v>198.30319444444399</v>
      </c>
      <c r="E36">
        <v>16.509166666666601</v>
      </c>
      <c r="F36">
        <v>27.776111111111099</v>
      </c>
      <c r="G36">
        <v>17.3648611111111</v>
      </c>
      <c r="H36">
        <v>3.35666666666667</v>
      </c>
      <c r="I36">
        <v>40.293888888888901</v>
      </c>
      <c r="J36">
        <v>44.970138888888798</v>
      </c>
      <c r="K36">
        <v>85.265416666666596</v>
      </c>
      <c r="L36">
        <v>22.887638888888802</v>
      </c>
      <c r="M36">
        <v>19.496111111111102</v>
      </c>
      <c r="N36">
        <v>14.348194444444401</v>
      </c>
      <c r="O36">
        <v>4.7029166666666598</v>
      </c>
    </row>
    <row r="37" spans="1:15" x14ac:dyDescent="0.25">
      <c r="A37" s="1">
        <v>41244</v>
      </c>
      <c r="B37">
        <v>112.51532258064501</v>
      </c>
      <c r="C37">
        <v>63.947983870967803</v>
      </c>
      <c r="D37">
        <v>176.50887096774099</v>
      </c>
      <c r="E37">
        <v>24.231586021505301</v>
      </c>
      <c r="F37">
        <v>23.0579301075269</v>
      </c>
      <c r="G37">
        <v>13.9091397849462</v>
      </c>
      <c r="H37">
        <v>4.0561827956989296</v>
      </c>
      <c r="I37">
        <v>40.690456989247203</v>
      </c>
      <c r="J37">
        <v>42.814516129032199</v>
      </c>
      <c r="K37">
        <v>83.462634408602199</v>
      </c>
      <c r="L37">
        <v>30.026209677419299</v>
      </c>
      <c r="M37">
        <v>16.344489247311799</v>
      </c>
      <c r="N37">
        <v>11.4166666666666</v>
      </c>
      <c r="O37">
        <v>4.6716397849462403</v>
      </c>
    </row>
    <row r="38" spans="1:15" x14ac:dyDescent="0.25">
      <c r="A38" s="1">
        <v>41275</v>
      </c>
      <c r="B38">
        <v>122.113440860214</v>
      </c>
      <c r="C38">
        <v>67.560349462365593</v>
      </c>
      <c r="D38">
        <v>189.61344086021501</v>
      </c>
      <c r="E38">
        <v>19.8909946236558</v>
      </c>
      <c r="F38">
        <v>30.143682795698901</v>
      </c>
      <c r="G38">
        <v>20.454569892473099</v>
      </c>
      <c r="H38">
        <v>4.40577956989247</v>
      </c>
      <c r="I38">
        <v>41.2174731182795</v>
      </c>
      <c r="J38">
        <v>45.897715053763399</v>
      </c>
      <c r="K38">
        <v>87.217607526881594</v>
      </c>
      <c r="L38">
        <v>24.838172043010701</v>
      </c>
      <c r="M38">
        <v>22.3227150537634</v>
      </c>
      <c r="N38">
        <v>17.490456989247299</v>
      </c>
      <c r="O38">
        <v>4.5603494623655898</v>
      </c>
    </row>
    <row r="39" spans="1:15" x14ac:dyDescent="0.25">
      <c r="A39" s="1">
        <v>41306</v>
      </c>
      <c r="B39">
        <v>99.438541666666694</v>
      </c>
      <c r="C39">
        <v>63.602827380952299</v>
      </c>
      <c r="D39">
        <v>162.97053571428501</v>
      </c>
      <c r="E39">
        <v>27.342559523809499</v>
      </c>
      <c r="F39">
        <v>31.743452380952299</v>
      </c>
      <c r="G39">
        <v>21.298363095237999</v>
      </c>
      <c r="H39">
        <v>3.7802083333333298</v>
      </c>
      <c r="I39">
        <v>28.0337797619047</v>
      </c>
      <c r="J39">
        <v>39.999255952380899</v>
      </c>
      <c r="K39">
        <v>67.758035714285597</v>
      </c>
      <c r="L39">
        <v>31.440922619047601</v>
      </c>
      <c r="M39">
        <v>23.464880952380899</v>
      </c>
      <c r="N39">
        <v>17.763541666666601</v>
      </c>
      <c r="O39">
        <v>4.5044642857142803</v>
      </c>
    </row>
    <row r="40" spans="1:15" x14ac:dyDescent="0.25">
      <c r="A40" s="1">
        <v>41334</v>
      </c>
      <c r="B40">
        <v>92.156048387096703</v>
      </c>
      <c r="C40">
        <v>65.550940860214894</v>
      </c>
      <c r="D40">
        <v>157.77701612903201</v>
      </c>
      <c r="E40">
        <v>35.017204301075203</v>
      </c>
      <c r="F40">
        <v>36.170833333333299</v>
      </c>
      <c r="G40">
        <v>24.975268817204299</v>
      </c>
      <c r="H40">
        <v>3.4994623655914001</v>
      </c>
      <c r="I40">
        <v>29.515456989247198</v>
      </c>
      <c r="J40">
        <v>40.904704301075199</v>
      </c>
      <c r="K40">
        <v>70.205376344086005</v>
      </c>
      <c r="L40">
        <v>41.191532258064498</v>
      </c>
      <c r="M40">
        <v>28.191397849462302</v>
      </c>
      <c r="N40">
        <v>21.786559139784899</v>
      </c>
      <c r="O40">
        <v>4.8356182795698901</v>
      </c>
    </row>
    <row r="41" spans="1:15" x14ac:dyDescent="0.25">
      <c r="A41" s="1">
        <v>41365</v>
      </c>
      <c r="B41">
        <v>65.882777777777704</v>
      </c>
      <c r="C41">
        <v>56.113888888888802</v>
      </c>
      <c r="D41">
        <v>121.87027777777701</v>
      </c>
      <c r="E41">
        <v>45.907638888888897</v>
      </c>
      <c r="F41">
        <v>29.303611111111099</v>
      </c>
      <c r="G41">
        <v>17.243194444444399</v>
      </c>
      <c r="H41">
        <v>2.25708333333333</v>
      </c>
      <c r="I41">
        <v>12.140694444444399</v>
      </c>
      <c r="J41">
        <v>30.637083333333301</v>
      </c>
      <c r="K41">
        <v>42.338194444444397</v>
      </c>
      <c r="L41">
        <v>54.8669444444444</v>
      </c>
      <c r="M41">
        <v>21.846111111111099</v>
      </c>
      <c r="N41">
        <v>14.612083333333301</v>
      </c>
      <c r="O41">
        <v>2.9484722222222199</v>
      </c>
    </row>
    <row r="42" spans="1:15" x14ac:dyDescent="0.25">
      <c r="A42" s="1">
        <v>41395</v>
      </c>
      <c r="B42">
        <v>67.579973118279497</v>
      </c>
      <c r="C42">
        <v>57.064516129032199</v>
      </c>
      <c r="D42">
        <v>124.665591397849</v>
      </c>
      <c r="E42">
        <v>41.573655913978499</v>
      </c>
      <c r="F42">
        <v>24.360215053763401</v>
      </c>
      <c r="G42">
        <v>14.361827956989201</v>
      </c>
      <c r="H42">
        <v>3.79905913978495</v>
      </c>
      <c r="I42">
        <v>12.4537634408602</v>
      </c>
      <c r="J42">
        <v>29.266532258064501</v>
      </c>
      <c r="K42">
        <v>42.088978494623603</v>
      </c>
      <c r="L42">
        <v>50.898655913978502</v>
      </c>
      <c r="M42">
        <v>17.706317204301001</v>
      </c>
      <c r="N42">
        <v>12.233467741935399</v>
      </c>
      <c r="O42">
        <v>3.28077956989247</v>
      </c>
    </row>
    <row r="43" spans="1:15" x14ac:dyDescent="0.25">
      <c r="A43" s="1">
        <v>41426</v>
      </c>
      <c r="B43">
        <v>67.474027777777707</v>
      </c>
      <c r="C43">
        <v>49.257083333333298</v>
      </c>
      <c r="D43">
        <v>116.750972222222</v>
      </c>
      <c r="E43">
        <v>32.137638888888802</v>
      </c>
      <c r="F43">
        <v>23.654166666666601</v>
      </c>
      <c r="G43">
        <v>13.3816666666666</v>
      </c>
      <c r="H43">
        <v>1.96277777777778</v>
      </c>
      <c r="I43">
        <v>12.3177777777777</v>
      </c>
      <c r="J43">
        <v>24.046249999999901</v>
      </c>
      <c r="K43">
        <v>39.257916666666603</v>
      </c>
      <c r="L43">
        <v>42.697777777777603</v>
      </c>
      <c r="M43">
        <v>17.473194444444399</v>
      </c>
      <c r="N43">
        <v>10.7734722222222</v>
      </c>
      <c r="O43">
        <v>3.0016666666666598</v>
      </c>
    </row>
    <row r="44" spans="1:15" x14ac:dyDescent="0.25">
      <c r="A44" s="1">
        <v>41456</v>
      </c>
      <c r="B44">
        <v>63.371639784946098</v>
      </c>
      <c r="C44">
        <v>54.834005376344102</v>
      </c>
      <c r="D44">
        <v>118.147983870967</v>
      </c>
      <c r="E44">
        <v>34.772580645161298</v>
      </c>
      <c r="F44">
        <v>27.958602150537601</v>
      </c>
      <c r="G44">
        <v>15.826612903225801</v>
      </c>
      <c r="H44">
        <v>2.8278225806451598</v>
      </c>
      <c r="I44">
        <v>12.0336021505376</v>
      </c>
      <c r="J44">
        <v>28.1099462365591</v>
      </c>
      <c r="K44">
        <v>43.029166666666598</v>
      </c>
      <c r="L44">
        <v>48.154704301075199</v>
      </c>
      <c r="M44">
        <v>21.338306451612802</v>
      </c>
      <c r="N44">
        <v>13.185483870967699</v>
      </c>
      <c r="O44">
        <v>3.0192204301075201</v>
      </c>
    </row>
    <row r="45" spans="1:15" x14ac:dyDescent="0.25">
      <c r="A45" s="1">
        <v>41487</v>
      </c>
      <c r="B45">
        <v>68.450403225806397</v>
      </c>
      <c r="C45">
        <v>52.3077956989247</v>
      </c>
      <c r="D45">
        <v>120.715456989247</v>
      </c>
      <c r="E45">
        <v>28.4120967741935</v>
      </c>
      <c r="F45">
        <v>25.190591397849399</v>
      </c>
      <c r="G45">
        <v>13.438306451612901</v>
      </c>
      <c r="H45">
        <v>2.4177419354838601</v>
      </c>
      <c r="I45">
        <v>13.113037634408601</v>
      </c>
      <c r="J45">
        <v>27.251881720430099</v>
      </c>
      <c r="K45">
        <v>40.235483870967698</v>
      </c>
      <c r="L45">
        <v>39.654704301075199</v>
      </c>
      <c r="M45">
        <v>18.8772849462365</v>
      </c>
      <c r="N45">
        <v>12.347983870967701</v>
      </c>
      <c r="O45">
        <v>1.7646505376343999</v>
      </c>
    </row>
    <row r="46" spans="1:15" x14ac:dyDescent="0.25">
      <c r="A46" s="1">
        <v>41518</v>
      </c>
      <c r="B46">
        <v>107.074166666666</v>
      </c>
      <c r="C46">
        <v>59.107222222222198</v>
      </c>
      <c r="D46">
        <v>166.141388888888</v>
      </c>
      <c r="E46">
        <v>16.276805555555502</v>
      </c>
      <c r="F46">
        <v>29.658333333333299</v>
      </c>
      <c r="G46">
        <v>17.154444444444401</v>
      </c>
      <c r="H46">
        <v>2.8612500000000001</v>
      </c>
      <c r="I46">
        <v>26.5443055555555</v>
      </c>
      <c r="J46">
        <v>35.481805555555503</v>
      </c>
      <c r="K46">
        <v>61.784444444444397</v>
      </c>
      <c r="L46">
        <v>22.83</v>
      </c>
      <c r="M46">
        <v>21.595555555555499</v>
      </c>
      <c r="N46">
        <v>14.543055555555499</v>
      </c>
      <c r="O46">
        <v>2.7752777777777702</v>
      </c>
    </row>
    <row r="47" spans="1:15" x14ac:dyDescent="0.25">
      <c r="A47" s="1">
        <v>41548</v>
      </c>
      <c r="B47">
        <v>92.830645161290306</v>
      </c>
      <c r="C47">
        <v>52.625940860215003</v>
      </c>
      <c r="D47">
        <v>145.41438172042999</v>
      </c>
      <c r="E47">
        <v>21.356854838709602</v>
      </c>
      <c r="F47">
        <v>25.5126344086021</v>
      </c>
      <c r="G47">
        <v>12.6225806451612</v>
      </c>
      <c r="H47">
        <v>3.1142473118279499</v>
      </c>
      <c r="I47">
        <v>24.3865591397849</v>
      </c>
      <c r="J47">
        <v>32.283198924731103</v>
      </c>
      <c r="K47">
        <v>56.544892473118303</v>
      </c>
      <c r="L47">
        <v>28.984543010752599</v>
      </c>
      <c r="M47">
        <v>18.100000000000001</v>
      </c>
      <c r="N47">
        <v>10.608333333333301</v>
      </c>
      <c r="O47">
        <v>3.7256720430107499</v>
      </c>
    </row>
    <row r="48" spans="1:15" x14ac:dyDescent="0.25">
      <c r="A48" s="1">
        <v>41579</v>
      </c>
      <c r="B48">
        <v>121.985277777777</v>
      </c>
      <c r="C48">
        <v>62.310833333333299</v>
      </c>
      <c r="D48">
        <v>184.23819444444399</v>
      </c>
      <c r="E48">
        <v>14.250972222222201</v>
      </c>
      <c r="F48">
        <v>27.105138888888799</v>
      </c>
      <c r="G48">
        <v>14.719444444444401</v>
      </c>
      <c r="H48">
        <v>4.1343055555555503</v>
      </c>
      <c r="I48">
        <v>39.274583333333197</v>
      </c>
      <c r="J48">
        <v>42.768611111111099</v>
      </c>
      <c r="K48">
        <v>81.934583333333407</v>
      </c>
      <c r="L48">
        <v>20.899722222222099</v>
      </c>
      <c r="M48">
        <v>18.885277777777699</v>
      </c>
      <c r="N48">
        <v>12.6554166666666</v>
      </c>
      <c r="O48">
        <v>5.1091666666666598</v>
      </c>
    </row>
    <row r="49" spans="1:15" x14ac:dyDescent="0.25">
      <c r="A49" s="1">
        <v>41609</v>
      </c>
      <c r="B49">
        <v>113.063440860215</v>
      </c>
      <c r="C49">
        <v>57.8842741935484</v>
      </c>
      <c r="D49">
        <v>171.250537634408</v>
      </c>
      <c r="E49">
        <v>25.163978494623599</v>
      </c>
      <c r="F49">
        <v>26.219220430107502</v>
      </c>
      <c r="G49">
        <v>14.517876344086</v>
      </c>
      <c r="H49">
        <v>3.0966397849462299</v>
      </c>
      <c r="I49">
        <v>42.9004032258064</v>
      </c>
      <c r="J49">
        <v>41.732795698924697</v>
      </c>
      <c r="K49">
        <v>84.019086021505402</v>
      </c>
      <c r="L49">
        <v>30.812634408602101</v>
      </c>
      <c r="M49">
        <v>18.941532258064498</v>
      </c>
      <c r="N49">
        <v>12.745026881720401</v>
      </c>
      <c r="O49">
        <v>4.8391129032258098</v>
      </c>
    </row>
    <row r="50" spans="1:15" x14ac:dyDescent="0.25">
      <c r="A50" s="1">
        <v>41640</v>
      </c>
      <c r="B50">
        <v>104.78696236559099</v>
      </c>
      <c r="C50">
        <v>56.332123655913897</v>
      </c>
      <c r="D50">
        <v>161.09072580645099</v>
      </c>
      <c r="E50">
        <v>26.238709677419301</v>
      </c>
      <c r="F50">
        <v>22.292338709677399</v>
      </c>
      <c r="G50">
        <v>11.601478494623599</v>
      </c>
      <c r="H50">
        <v>1.7799731182795699</v>
      </c>
      <c r="I50">
        <v>42.503763440860098</v>
      </c>
      <c r="J50">
        <v>38.353494623655898</v>
      </c>
      <c r="K50">
        <v>77.072311827956796</v>
      </c>
      <c r="L50">
        <v>34.555779569892501</v>
      </c>
      <c r="M50">
        <v>16.507526881720398</v>
      </c>
      <c r="N50">
        <v>10.568548387096699</v>
      </c>
      <c r="O50">
        <v>4.20376344086021</v>
      </c>
    </row>
    <row r="51" spans="1:15" x14ac:dyDescent="0.25">
      <c r="A51" s="1">
        <v>41671</v>
      </c>
      <c r="B51">
        <v>70.5775297619047</v>
      </c>
      <c r="C51">
        <v>48.456845238095198</v>
      </c>
      <c r="D51">
        <v>119.032738095238</v>
      </c>
      <c r="E51">
        <v>34.250595238095201</v>
      </c>
      <c r="F51">
        <v>19.660119047618998</v>
      </c>
      <c r="G51">
        <v>8.4790178571428605</v>
      </c>
      <c r="H51">
        <v>2.7976190476190501</v>
      </c>
      <c r="I51">
        <v>14.5534226190476</v>
      </c>
      <c r="J51">
        <v>29.5181547619047</v>
      </c>
      <c r="K51">
        <v>41.6556547619047</v>
      </c>
      <c r="L51">
        <v>45.7709821428571</v>
      </c>
      <c r="M51">
        <v>14.651339285714201</v>
      </c>
      <c r="N51">
        <v>7.9130952380952397</v>
      </c>
      <c r="O51">
        <v>3.3061011904761801</v>
      </c>
    </row>
    <row r="52" spans="1:15" x14ac:dyDescent="0.25">
      <c r="A52" s="1">
        <v>41699</v>
      </c>
      <c r="B52">
        <v>101.163037634408</v>
      </c>
      <c r="C52">
        <v>66.248790322580504</v>
      </c>
      <c r="D52">
        <v>167.43736559139799</v>
      </c>
      <c r="E52">
        <v>23.629704301075201</v>
      </c>
      <c r="F52">
        <v>35.669489247311802</v>
      </c>
      <c r="G52">
        <v>23.820026881720398</v>
      </c>
      <c r="H52">
        <v>3.3422043010752698</v>
      </c>
      <c r="I52">
        <v>33.026612903225796</v>
      </c>
      <c r="J52">
        <v>43.5116935483871</v>
      </c>
      <c r="K52">
        <v>75.111693548387194</v>
      </c>
      <c r="L52">
        <v>34.455510752688099</v>
      </c>
      <c r="M52">
        <v>27.300403225806399</v>
      </c>
      <c r="N52">
        <v>22.533333333333299</v>
      </c>
      <c r="O52">
        <v>4.41169354838709</v>
      </c>
    </row>
    <row r="53" spans="1:15" x14ac:dyDescent="0.25">
      <c r="A53" s="1">
        <v>41730</v>
      </c>
      <c r="B53">
        <v>81.093055555555495</v>
      </c>
      <c r="C53">
        <v>59.3079166666666</v>
      </c>
      <c r="D53">
        <v>140.43611111111099</v>
      </c>
      <c r="E53">
        <v>29.373472222222201</v>
      </c>
      <c r="F53">
        <v>30.987500000000001</v>
      </c>
      <c r="G53">
        <v>20.049583333333299</v>
      </c>
      <c r="H53">
        <v>2.2840277777777702</v>
      </c>
      <c r="I53">
        <v>19.939861111111099</v>
      </c>
      <c r="J53">
        <v>35.227361111111001</v>
      </c>
      <c r="K53">
        <v>53.837222222222202</v>
      </c>
      <c r="L53">
        <v>41.8079166666666</v>
      </c>
      <c r="M53">
        <v>24.396805555555499</v>
      </c>
      <c r="N53">
        <v>18.467361111111099</v>
      </c>
      <c r="O53">
        <v>4.3569444444444398</v>
      </c>
    </row>
    <row r="54" spans="1:15" x14ac:dyDescent="0.25">
      <c r="A54" s="1">
        <v>41760</v>
      </c>
      <c r="B54">
        <v>77.858602150537607</v>
      </c>
      <c r="C54">
        <v>56.866397849462302</v>
      </c>
      <c r="D54">
        <v>134.804435483871</v>
      </c>
      <c r="E54">
        <v>35.501344086021497</v>
      </c>
      <c r="F54">
        <v>23.2602150537634</v>
      </c>
      <c r="G54">
        <v>13.617876344086</v>
      </c>
      <c r="H54">
        <v>1.44247311827956</v>
      </c>
      <c r="I54">
        <v>13.7904569892473</v>
      </c>
      <c r="J54">
        <v>31.7116935483871</v>
      </c>
      <c r="K54">
        <v>43.441666666666599</v>
      </c>
      <c r="L54">
        <v>49.2615591397849</v>
      </c>
      <c r="M54">
        <v>16.875268817204201</v>
      </c>
      <c r="N54">
        <v>11.999059139784899</v>
      </c>
      <c r="O54">
        <v>2.9135752688171999</v>
      </c>
    </row>
    <row r="55" spans="1:15" x14ac:dyDescent="0.25">
      <c r="A55" s="1">
        <v>41791</v>
      </c>
      <c r="B55">
        <v>74.268472222222101</v>
      </c>
      <c r="C55">
        <v>54.580972222222201</v>
      </c>
      <c r="D55">
        <v>128.871805555555</v>
      </c>
      <c r="E55">
        <v>31.690555555555498</v>
      </c>
      <c r="F55">
        <v>21.8880555555555</v>
      </c>
      <c r="G55">
        <v>11.576805555555501</v>
      </c>
      <c r="H55">
        <v>3.0347222222222201</v>
      </c>
      <c r="I55">
        <v>14.817500000000001</v>
      </c>
      <c r="J55">
        <v>28.8666666666666</v>
      </c>
      <c r="K55">
        <v>42.819722222222197</v>
      </c>
      <c r="L55">
        <v>44.376666666666601</v>
      </c>
      <c r="M55">
        <v>16.346527777777698</v>
      </c>
      <c r="N55">
        <v>10.5279166666666</v>
      </c>
      <c r="O55">
        <v>2.3819444444444402</v>
      </c>
    </row>
    <row r="56" spans="1:15" x14ac:dyDescent="0.25">
      <c r="A56" s="1">
        <v>41821</v>
      </c>
      <c r="B56">
        <v>59.923924731182801</v>
      </c>
      <c r="C56">
        <v>49.909946236559101</v>
      </c>
      <c r="D56">
        <v>109.844220430107</v>
      </c>
      <c r="E56">
        <v>30.480913978494598</v>
      </c>
      <c r="F56">
        <v>22.837096774193501</v>
      </c>
      <c r="G56">
        <v>12.9755376344085</v>
      </c>
      <c r="H56">
        <v>3.3404569892473099</v>
      </c>
      <c r="I56">
        <v>13.2110215053763</v>
      </c>
      <c r="J56">
        <v>27.524999999999899</v>
      </c>
      <c r="K56">
        <v>39.885080645161302</v>
      </c>
      <c r="L56">
        <v>45.646236559139702</v>
      </c>
      <c r="M56">
        <v>17.689381720429999</v>
      </c>
      <c r="N56">
        <v>12.0508064516129</v>
      </c>
      <c r="O56">
        <v>3.6666666666666599</v>
      </c>
    </row>
    <row r="57" spans="1:15" x14ac:dyDescent="0.25">
      <c r="A57" s="1">
        <v>41852</v>
      </c>
      <c r="B57">
        <v>60.836290322580602</v>
      </c>
      <c r="C57">
        <v>45.464650537634299</v>
      </c>
      <c r="D57">
        <v>106.320564516129</v>
      </c>
      <c r="E57">
        <v>29.509946236559099</v>
      </c>
      <c r="F57">
        <v>18.485080645161201</v>
      </c>
      <c r="G57">
        <v>9.6991935483871092</v>
      </c>
      <c r="H57">
        <v>2.9811827956989201</v>
      </c>
      <c r="I57">
        <v>13.1872311827956</v>
      </c>
      <c r="J57">
        <v>26.048252688171999</v>
      </c>
      <c r="K57">
        <v>37.742069892472998</v>
      </c>
      <c r="L57">
        <v>40.250134408602101</v>
      </c>
      <c r="M57">
        <v>14.071236559139701</v>
      </c>
      <c r="N57">
        <v>9.3180107526881706</v>
      </c>
      <c r="O57">
        <v>4.1838709677419299</v>
      </c>
    </row>
    <row r="58" spans="1:15" x14ac:dyDescent="0.25">
      <c r="A58" s="1">
        <v>41883</v>
      </c>
      <c r="B58">
        <v>93.862777777777694</v>
      </c>
      <c r="C58">
        <v>63.0411111111111</v>
      </c>
      <c r="D58">
        <v>156.87194444444401</v>
      </c>
      <c r="E58">
        <v>21.117361111111101</v>
      </c>
      <c r="F58">
        <v>35.537777777777798</v>
      </c>
      <c r="G58">
        <v>25.249861111110999</v>
      </c>
      <c r="H58">
        <v>5.5150000000000103</v>
      </c>
      <c r="I58">
        <v>26.0381944444444</v>
      </c>
      <c r="J58">
        <v>40.120555555555399</v>
      </c>
      <c r="K58">
        <v>64.585416666666703</v>
      </c>
      <c r="L58">
        <v>31.049722222222201</v>
      </c>
      <c r="M58">
        <v>29.108194444444401</v>
      </c>
      <c r="N58">
        <v>24.6727777777777</v>
      </c>
      <c r="O58">
        <v>3.1452777777777698</v>
      </c>
    </row>
    <row r="59" spans="1:15" x14ac:dyDescent="0.25">
      <c r="A59" s="1">
        <v>41913</v>
      </c>
      <c r="B59">
        <v>103.006854838709</v>
      </c>
      <c r="C59">
        <v>55.540994623655898</v>
      </c>
      <c r="D59">
        <v>158.550268817204</v>
      </c>
      <c r="E59">
        <v>20.271505376343999</v>
      </c>
      <c r="F59">
        <v>22.520295698924699</v>
      </c>
      <c r="G59">
        <v>12.794623655913901</v>
      </c>
      <c r="H59">
        <v>3.5106612685559999</v>
      </c>
      <c r="I59">
        <v>24.9604838709677</v>
      </c>
      <c r="J59">
        <v>33.988709677419401</v>
      </c>
      <c r="K59">
        <v>55.685752688172002</v>
      </c>
      <c r="L59">
        <v>29.063037634408602</v>
      </c>
      <c r="M59">
        <v>16.859543010752599</v>
      </c>
      <c r="N59">
        <v>11.773924731182699</v>
      </c>
      <c r="O59">
        <v>3.0098118279569901</v>
      </c>
    </row>
    <row r="60" spans="1:15" x14ac:dyDescent="0.25">
      <c r="A60" s="1">
        <v>41944</v>
      </c>
      <c r="B60">
        <v>150.14798850574701</v>
      </c>
      <c r="C60">
        <v>64.676724137930904</v>
      </c>
      <c r="D60">
        <v>214.82212643678099</v>
      </c>
      <c r="E60">
        <v>12.810919540229801</v>
      </c>
      <c r="F60">
        <v>29.407183908045901</v>
      </c>
      <c r="G60">
        <v>20.333908045976901</v>
      </c>
      <c r="H60">
        <v>3.5972701149425301</v>
      </c>
      <c r="I60">
        <v>63.6899425287356</v>
      </c>
      <c r="J60">
        <v>43.367816091953998</v>
      </c>
      <c r="K60">
        <v>106.390517241379</v>
      </c>
      <c r="L60">
        <v>15.8449712643678</v>
      </c>
      <c r="M60">
        <v>22.310775862068901</v>
      </c>
      <c r="N60">
        <v>18.1258620689655</v>
      </c>
      <c r="O60">
        <v>4.4127873563218296</v>
      </c>
    </row>
    <row r="61" spans="1:15" x14ac:dyDescent="0.25">
      <c r="A61" s="1">
        <v>41974</v>
      </c>
      <c r="B61">
        <v>110.41693548387001</v>
      </c>
      <c r="C61">
        <v>59.698118279569798</v>
      </c>
      <c r="D61">
        <v>170.10591397849399</v>
      </c>
      <c r="E61">
        <v>22.682526881720399</v>
      </c>
      <c r="F61">
        <v>22.450403225806401</v>
      </c>
      <c r="G61">
        <v>13.227016129032201</v>
      </c>
      <c r="H61">
        <v>3.2092741935483802</v>
      </c>
      <c r="I61">
        <v>36.183333333333302</v>
      </c>
      <c r="J61">
        <v>37.858467741935399</v>
      </c>
      <c r="K61">
        <v>73.2868279569891</v>
      </c>
      <c r="L61">
        <v>29.133602150537602</v>
      </c>
      <c r="M61">
        <v>14.940456989247201</v>
      </c>
      <c r="N61">
        <v>12.0508064516129</v>
      </c>
      <c r="O61">
        <v>3.9556451612903198</v>
      </c>
    </row>
    <row r="62" spans="1:15" x14ac:dyDescent="0.25">
      <c r="A62" s="1">
        <v>42005</v>
      </c>
      <c r="B62">
        <v>109.780510752688</v>
      </c>
      <c r="C62">
        <v>62.7291666666666</v>
      </c>
      <c r="D62">
        <v>172.50631720430101</v>
      </c>
      <c r="E62">
        <v>23.7973118279569</v>
      </c>
      <c r="F62">
        <v>24.300672043010699</v>
      </c>
      <c r="G62">
        <v>13.5327956989247</v>
      </c>
      <c r="H62">
        <v>4.2665322580645197</v>
      </c>
      <c r="I62">
        <v>34.069623655913901</v>
      </c>
      <c r="J62">
        <v>38.572983870967697</v>
      </c>
      <c r="K62">
        <v>69.829032258064501</v>
      </c>
      <c r="L62">
        <v>33.668817204301</v>
      </c>
      <c r="M62">
        <v>15.750268817204301</v>
      </c>
      <c r="N62">
        <v>12.5556451612903</v>
      </c>
      <c r="O62">
        <v>3.60577956989246</v>
      </c>
    </row>
    <row r="63" spans="1:15" x14ac:dyDescent="0.25">
      <c r="A63" s="1">
        <v>42036</v>
      </c>
      <c r="B63">
        <v>108.83675595238</v>
      </c>
      <c r="C63">
        <v>64.695833333333198</v>
      </c>
      <c r="D63">
        <v>173.53273809523799</v>
      </c>
      <c r="E63">
        <v>22.150148809523799</v>
      </c>
      <c r="F63">
        <v>28.162499999999898</v>
      </c>
      <c r="G63">
        <v>15.7898809523809</v>
      </c>
      <c r="H63">
        <v>5.9739583333333197</v>
      </c>
      <c r="I63">
        <v>30.097619047618998</v>
      </c>
      <c r="J63">
        <v>40.523065476190297</v>
      </c>
      <c r="K63">
        <v>68.833184523809607</v>
      </c>
      <c r="L63">
        <v>30.888392857142801</v>
      </c>
      <c r="M63">
        <v>17.948511904761901</v>
      </c>
      <c r="N63">
        <v>14.416369047619</v>
      </c>
      <c r="O63">
        <v>5.8985119047618904</v>
      </c>
    </row>
    <row r="64" spans="1:15" x14ac:dyDescent="0.25">
      <c r="A64" s="1">
        <v>42064</v>
      </c>
      <c r="B64">
        <v>81.256854838709501</v>
      </c>
      <c r="C64">
        <v>55.802822580645199</v>
      </c>
      <c r="D64">
        <v>137.05362903225799</v>
      </c>
      <c r="E64">
        <v>29.030510752688102</v>
      </c>
      <c r="F64">
        <v>31.154569892472999</v>
      </c>
      <c r="G64">
        <v>19.540053763440799</v>
      </c>
      <c r="H64">
        <v>2.7723719676549798</v>
      </c>
      <c r="I64">
        <v>19.8158602150537</v>
      </c>
      <c r="J64">
        <v>35.0854838709677</v>
      </c>
      <c r="K64">
        <v>52.375268817204301</v>
      </c>
      <c r="L64">
        <v>43.402150537634398</v>
      </c>
      <c r="M64">
        <v>22.9919354838709</v>
      </c>
      <c r="N64">
        <v>18.321908602150501</v>
      </c>
      <c r="O64">
        <v>5.86075268817204</v>
      </c>
    </row>
    <row r="65" spans="1:15" x14ac:dyDescent="0.25">
      <c r="A65" s="1">
        <v>42095</v>
      </c>
      <c r="B65">
        <v>77.780416666666696</v>
      </c>
      <c r="C65">
        <v>56.161388888888901</v>
      </c>
      <c r="D65">
        <v>133.95180555555501</v>
      </c>
      <c r="E65">
        <v>33.440555555555498</v>
      </c>
      <c r="F65">
        <v>25.5445833333333</v>
      </c>
      <c r="G65">
        <v>16.129305555555501</v>
      </c>
      <c r="H65">
        <v>1.2209722222222199</v>
      </c>
      <c r="I65">
        <v>17.172083333333301</v>
      </c>
      <c r="J65">
        <v>33.922638888888798</v>
      </c>
      <c r="K65">
        <v>49.292638888888803</v>
      </c>
      <c r="L65">
        <v>46.7598611111111</v>
      </c>
      <c r="M65">
        <v>19.132777777777701</v>
      </c>
      <c r="N65">
        <v>14.127361111111099</v>
      </c>
      <c r="O65">
        <v>4.3697222222222196</v>
      </c>
    </row>
    <row r="66" spans="1:15" x14ac:dyDescent="0.25">
      <c r="A66" s="1">
        <v>42125</v>
      </c>
      <c r="B66">
        <v>62.188978494623598</v>
      </c>
      <c r="C66">
        <v>48.5577956989247</v>
      </c>
      <c r="D66">
        <v>110.753091397849</v>
      </c>
      <c r="E66">
        <v>41.569758064516101</v>
      </c>
      <c r="F66">
        <v>20.135080645161199</v>
      </c>
      <c r="G66">
        <v>10.4560483870967</v>
      </c>
      <c r="H66">
        <v>2.9882273342354502</v>
      </c>
      <c r="I66">
        <v>9.7279569892472999</v>
      </c>
      <c r="J66">
        <v>24.615053763440802</v>
      </c>
      <c r="K66">
        <v>32.788037634408603</v>
      </c>
      <c r="L66">
        <v>54.134946236559102</v>
      </c>
      <c r="M66">
        <v>14.4235215053763</v>
      </c>
      <c r="N66">
        <v>8.7186827956989301</v>
      </c>
      <c r="O66">
        <v>2.81478494623655</v>
      </c>
    </row>
    <row r="67" spans="1:15" x14ac:dyDescent="0.25">
      <c r="A67" s="1">
        <v>42156</v>
      </c>
      <c r="B67">
        <v>69.128749999999997</v>
      </c>
      <c r="C67">
        <v>50.529027777777799</v>
      </c>
      <c r="D67">
        <v>119.65708333333301</v>
      </c>
      <c r="E67">
        <v>37.285972222222199</v>
      </c>
      <c r="F67">
        <v>22.5995833333333</v>
      </c>
      <c r="G67">
        <v>12.7524999999999</v>
      </c>
      <c r="H67">
        <v>5.2966666666666598</v>
      </c>
      <c r="I67">
        <v>11.7487499999999</v>
      </c>
      <c r="J67">
        <v>26.057499999999902</v>
      </c>
      <c r="K67">
        <v>36.473194444444403</v>
      </c>
      <c r="L67">
        <v>50.281944444444399</v>
      </c>
      <c r="M67">
        <v>17.141111111111002</v>
      </c>
      <c r="N67">
        <v>10.7766666666666</v>
      </c>
      <c r="O67">
        <v>3.9915277777777698</v>
      </c>
    </row>
    <row r="68" spans="1:15" x14ac:dyDescent="0.25">
      <c r="A68" s="1">
        <v>42186</v>
      </c>
      <c r="B68">
        <v>71.357795698924704</v>
      </c>
      <c r="C68">
        <v>49.500537634408502</v>
      </c>
      <c r="D68">
        <v>120.862768817204</v>
      </c>
      <c r="E68">
        <v>34.3981182795698</v>
      </c>
      <c r="F68">
        <v>20.006451612903199</v>
      </c>
      <c r="G68">
        <v>11.147580645161201</v>
      </c>
      <c r="H68">
        <v>5.9978465679676898</v>
      </c>
      <c r="I68">
        <v>11.1821236559139</v>
      </c>
      <c r="J68">
        <v>23.890322580645101</v>
      </c>
      <c r="K68">
        <v>33.205645161290299</v>
      </c>
      <c r="L68">
        <v>46.214112903225697</v>
      </c>
      <c r="M68">
        <v>15.1666666666666</v>
      </c>
      <c r="N68">
        <v>9.5071236559139596</v>
      </c>
      <c r="O68">
        <v>3.5213709677419298</v>
      </c>
    </row>
    <row r="69" spans="1:15" x14ac:dyDescent="0.25">
      <c r="A69" s="1">
        <v>42217</v>
      </c>
      <c r="B69">
        <v>69.747177419354799</v>
      </c>
      <c r="C69">
        <v>49.004838709677301</v>
      </c>
      <c r="D69">
        <v>118.750268817204</v>
      </c>
      <c r="E69">
        <v>28.953763440860101</v>
      </c>
      <c r="F69">
        <v>20.514247311827901</v>
      </c>
      <c r="G69">
        <v>12.201612903225801</v>
      </c>
      <c r="H69">
        <v>0.49448924731182697</v>
      </c>
      <c r="I69">
        <v>12.605376344086</v>
      </c>
      <c r="J69">
        <v>26.334677419354801</v>
      </c>
      <c r="K69">
        <v>36.327956989247298</v>
      </c>
      <c r="L69">
        <v>40.4443548387096</v>
      </c>
      <c r="M69">
        <v>15.754838709677299</v>
      </c>
      <c r="N69">
        <v>9.2989247311827796</v>
      </c>
      <c r="O69">
        <v>4.0330645161290297</v>
      </c>
    </row>
    <row r="70" spans="1:15" x14ac:dyDescent="0.25">
      <c r="A70" s="1">
        <v>42248</v>
      </c>
      <c r="B70">
        <v>99.275416666666601</v>
      </c>
      <c r="C70">
        <v>56.9716666666666</v>
      </c>
      <c r="D70">
        <v>156.24250000000001</v>
      </c>
      <c r="E70">
        <v>21.218611111110999</v>
      </c>
      <c r="F70">
        <v>20.424861111111099</v>
      </c>
      <c r="G70">
        <v>12.5688888888888</v>
      </c>
      <c r="H70">
        <v>1.0113263785394899</v>
      </c>
      <c r="I70">
        <v>22.949444444444399</v>
      </c>
      <c r="J70">
        <v>32.5509722222221</v>
      </c>
      <c r="K70">
        <v>53.546805555555601</v>
      </c>
      <c r="L70">
        <v>31.376527777777699</v>
      </c>
      <c r="M70">
        <v>14.994861111111</v>
      </c>
      <c r="N70">
        <v>8.1259722222222202</v>
      </c>
      <c r="O70">
        <v>3.5890277777777699</v>
      </c>
    </row>
    <row r="71" spans="1:15" x14ac:dyDescent="0.25">
      <c r="A71" s="1">
        <v>42278</v>
      </c>
      <c r="B71">
        <v>108.796505376344</v>
      </c>
      <c r="C71">
        <v>58.517069892473003</v>
      </c>
      <c r="D71">
        <v>167.31182795698899</v>
      </c>
      <c r="E71">
        <v>18.3287634408602</v>
      </c>
      <c r="F71">
        <v>26.014247311827901</v>
      </c>
      <c r="G71">
        <v>18.574462365591401</v>
      </c>
      <c r="H71">
        <v>3.9932885906039897E-2</v>
      </c>
      <c r="I71">
        <v>30.244489247311702</v>
      </c>
      <c r="J71">
        <v>35.550672043010699</v>
      </c>
      <c r="K71">
        <v>62.166935483870901</v>
      </c>
      <c r="L71">
        <v>24.454166666666602</v>
      </c>
      <c r="M71">
        <v>20.138306451612799</v>
      </c>
      <c r="N71">
        <v>12.836693548387</v>
      </c>
      <c r="O71">
        <v>3.6993279569892401</v>
      </c>
    </row>
    <row r="72" spans="1:15" x14ac:dyDescent="0.25">
      <c r="A72" s="1">
        <v>42309</v>
      </c>
      <c r="B72">
        <v>98.304166666666703</v>
      </c>
      <c r="C72">
        <v>53.932083333333303</v>
      </c>
      <c r="D72">
        <v>152.23374999999999</v>
      </c>
      <c r="E72">
        <v>24.8541666666666</v>
      </c>
      <c r="F72">
        <v>21.824722222222199</v>
      </c>
      <c r="G72">
        <v>12.7326388888888</v>
      </c>
      <c r="H72">
        <v>2.9636111111111099</v>
      </c>
      <c r="I72">
        <v>25.492638888888798</v>
      </c>
      <c r="J72">
        <v>29.498194444444401</v>
      </c>
      <c r="K72">
        <v>53.019027777777701</v>
      </c>
      <c r="L72">
        <v>34.269583333333301</v>
      </c>
      <c r="M72">
        <v>16.217361111111</v>
      </c>
      <c r="N72">
        <v>9.1141666666666694</v>
      </c>
      <c r="O72">
        <v>3.5247222222222199</v>
      </c>
    </row>
    <row r="73" spans="1:15" x14ac:dyDescent="0.25">
      <c r="A73" s="1">
        <v>42339</v>
      </c>
      <c r="B73">
        <v>72.440188172042895</v>
      </c>
      <c r="C73">
        <v>47.174865591397797</v>
      </c>
      <c r="D73">
        <v>119.688440860215</v>
      </c>
      <c r="E73">
        <v>32.616397849462302</v>
      </c>
      <c r="F73">
        <v>24.147043010752601</v>
      </c>
      <c r="G73">
        <v>11.8638440860215</v>
      </c>
      <c r="H73">
        <v>1.5958333333333301</v>
      </c>
      <c r="I73">
        <v>12.1212365591397</v>
      </c>
      <c r="J73">
        <v>24.189516129032199</v>
      </c>
      <c r="K73">
        <v>33.176344086021501</v>
      </c>
      <c r="L73">
        <v>44.130241935483802</v>
      </c>
      <c r="M73">
        <v>19.136827956989201</v>
      </c>
      <c r="N73">
        <v>8.1696236559139699</v>
      </c>
      <c r="O73">
        <v>3.6173387096774099</v>
      </c>
    </row>
    <row r="74" spans="1:15" x14ac:dyDescent="0.25">
      <c r="A74" s="1">
        <v>42370</v>
      </c>
      <c r="B74">
        <v>123.104704301075</v>
      </c>
      <c r="C74">
        <v>60.0368279569892</v>
      </c>
      <c r="D74">
        <v>183.15537634408599</v>
      </c>
      <c r="E74">
        <v>23.776747311827901</v>
      </c>
      <c r="F74">
        <v>23.2069892473118</v>
      </c>
      <c r="G74">
        <v>13.597849462365501</v>
      </c>
      <c r="H74">
        <v>3.92029569892473</v>
      </c>
      <c r="I74">
        <v>44.237768817204199</v>
      </c>
      <c r="J74">
        <v>38.156854838709599</v>
      </c>
      <c r="K74">
        <v>80.072043010752694</v>
      </c>
      <c r="L74">
        <v>32.699731182795702</v>
      </c>
      <c r="M74">
        <v>16.517741935483802</v>
      </c>
      <c r="N74">
        <v>9.1396505376344095</v>
      </c>
      <c r="O74">
        <v>4.7524193548387101</v>
      </c>
    </row>
    <row r="75" spans="1:15" x14ac:dyDescent="0.25">
      <c r="A75" s="1">
        <v>42401</v>
      </c>
      <c r="B75">
        <v>106.56436781609101</v>
      </c>
      <c r="C75">
        <v>58.681609195402302</v>
      </c>
      <c r="D75">
        <v>165.239367816092</v>
      </c>
      <c r="E75">
        <v>27.423994252873499</v>
      </c>
      <c r="F75">
        <v>23.0896551724137</v>
      </c>
      <c r="G75">
        <v>13.047988505747099</v>
      </c>
      <c r="H75">
        <v>4.0505747126436704</v>
      </c>
      <c r="I75">
        <v>33.160775862068903</v>
      </c>
      <c r="J75">
        <v>36.513362068965499</v>
      </c>
      <c r="K75">
        <v>69.5610632183908</v>
      </c>
      <c r="L75">
        <v>38.062356321839097</v>
      </c>
      <c r="M75">
        <v>16.846264367816001</v>
      </c>
      <c r="N75">
        <v>9.7897988505747104</v>
      </c>
      <c r="O75">
        <v>3.9241379310344802</v>
      </c>
    </row>
    <row r="76" spans="1:15" x14ac:dyDescent="0.25">
      <c r="A76" s="1">
        <v>42430</v>
      </c>
      <c r="B76">
        <v>87.3262096774193</v>
      </c>
      <c r="C76">
        <v>57.605107526881703</v>
      </c>
      <c r="D76">
        <v>144.927284946236</v>
      </c>
      <c r="E76">
        <v>30.196505376344</v>
      </c>
      <c r="F76">
        <v>26.071505376344</v>
      </c>
      <c r="G76">
        <v>18.036693548387099</v>
      </c>
      <c r="H76">
        <v>3.4983870967741901</v>
      </c>
      <c r="I76">
        <v>20.391801075268798</v>
      </c>
      <c r="J76">
        <v>34.340994623655902</v>
      </c>
      <c r="K76">
        <v>54.704569892473103</v>
      </c>
      <c r="L76">
        <v>41.183736559139803</v>
      </c>
      <c r="M76">
        <v>18.850134408602099</v>
      </c>
      <c r="N76">
        <v>15.620430107526801</v>
      </c>
      <c r="O76">
        <v>2.3001344086021498</v>
      </c>
    </row>
    <row r="77" spans="1:15" x14ac:dyDescent="0.25">
      <c r="A77" s="1">
        <v>42461</v>
      </c>
      <c r="B77">
        <v>85.463888888888903</v>
      </c>
      <c r="C77">
        <v>58.783333333333204</v>
      </c>
      <c r="D77">
        <v>144.25194444444401</v>
      </c>
      <c r="E77">
        <v>33.884444444444398</v>
      </c>
      <c r="F77">
        <v>21.074861111111101</v>
      </c>
      <c r="G77">
        <v>12.543055555555499</v>
      </c>
      <c r="H77">
        <v>5.8959722222222197</v>
      </c>
      <c r="I77">
        <v>14.7245833333333</v>
      </c>
      <c r="J77">
        <v>30.3354166666666</v>
      </c>
      <c r="K77">
        <v>45.060833333333299</v>
      </c>
      <c r="L77">
        <v>46.46</v>
      </c>
      <c r="M77">
        <v>14.4934722222222</v>
      </c>
      <c r="N77">
        <v>8.6779166666666594</v>
      </c>
      <c r="O77">
        <v>3.4463888888888898</v>
      </c>
    </row>
    <row r="78" spans="1:15" x14ac:dyDescent="0.25">
      <c r="A78" s="1">
        <v>42491</v>
      </c>
      <c r="B78">
        <v>63.225537634408497</v>
      </c>
      <c r="C78">
        <v>50.934811827956999</v>
      </c>
      <c r="D78">
        <v>114.162096774193</v>
      </c>
      <c r="E78">
        <v>39.649529569892401</v>
      </c>
      <c r="F78">
        <v>22.384677419354801</v>
      </c>
      <c r="G78">
        <v>13.830510752688101</v>
      </c>
      <c r="H78">
        <v>4.0277140930546098</v>
      </c>
      <c r="I78">
        <v>10.5008736559139</v>
      </c>
      <c r="J78">
        <v>26.105779569892398</v>
      </c>
      <c r="K78">
        <v>35.870766129032297</v>
      </c>
      <c r="L78">
        <v>53.169220430107401</v>
      </c>
      <c r="M78">
        <v>17.020295698924599</v>
      </c>
      <c r="N78">
        <v>10.709744623655901</v>
      </c>
      <c r="O78">
        <v>3.2932795698924702</v>
      </c>
    </row>
    <row r="79" spans="1:15" x14ac:dyDescent="0.25">
      <c r="A79" s="1">
        <v>42522</v>
      </c>
      <c r="B79">
        <v>69.497222222222305</v>
      </c>
      <c r="C79">
        <v>48.741875</v>
      </c>
      <c r="D79">
        <v>118.240833333333</v>
      </c>
      <c r="E79">
        <v>31.511527777777701</v>
      </c>
      <c r="F79">
        <v>21.2765972222222</v>
      </c>
      <c r="G79">
        <v>12.6065972222222</v>
      </c>
      <c r="H79">
        <v>6.0740277777777703</v>
      </c>
      <c r="I79">
        <v>11.848125</v>
      </c>
      <c r="J79">
        <v>24.928749999999901</v>
      </c>
      <c r="K79">
        <v>36.109375</v>
      </c>
      <c r="L79">
        <v>43.9334722222221</v>
      </c>
      <c r="M79">
        <v>16.0990277777777</v>
      </c>
      <c r="N79">
        <v>9.6924305555555499</v>
      </c>
      <c r="O79">
        <v>4.3953472222222096</v>
      </c>
    </row>
    <row r="80" spans="1:15" x14ac:dyDescent="0.25">
      <c r="A80" s="1">
        <v>42552</v>
      </c>
      <c r="B80">
        <v>69.927956989247306</v>
      </c>
      <c r="C80">
        <v>45.445295698924703</v>
      </c>
      <c r="D80">
        <v>115.425</v>
      </c>
      <c r="E80">
        <v>24.222311827956901</v>
      </c>
      <c r="F80">
        <v>16.991129032258002</v>
      </c>
      <c r="G80">
        <v>10.930913978494599</v>
      </c>
      <c r="H80">
        <v>2.5059139784946201</v>
      </c>
      <c r="I80">
        <v>10.630376344086001</v>
      </c>
      <c r="J80">
        <v>21.326612903225701</v>
      </c>
      <c r="K80">
        <v>31.958736559139702</v>
      </c>
      <c r="L80">
        <v>36.647177419354797</v>
      </c>
      <c r="M80">
        <v>13.043548387096701</v>
      </c>
      <c r="N80">
        <v>6.7635752688171999</v>
      </c>
      <c r="O80">
        <v>2.4762096774193498</v>
      </c>
    </row>
    <row r="81" spans="1:15" x14ac:dyDescent="0.25">
      <c r="A81" s="1">
        <v>42583</v>
      </c>
      <c r="B81">
        <v>65.571102150537598</v>
      </c>
      <c r="C81">
        <v>47.586962365591397</v>
      </c>
      <c r="D81">
        <v>113.208736559139</v>
      </c>
      <c r="E81">
        <v>27.218951612903201</v>
      </c>
      <c r="F81">
        <v>20.7338709677419</v>
      </c>
      <c r="G81">
        <v>12.7104838709677</v>
      </c>
      <c r="H81">
        <v>1.99086021505376</v>
      </c>
      <c r="I81">
        <v>11.1243279569892</v>
      </c>
      <c r="J81">
        <v>23.563306451612899</v>
      </c>
      <c r="K81">
        <v>34.687499999999901</v>
      </c>
      <c r="L81">
        <v>39.734139784946201</v>
      </c>
      <c r="M81">
        <v>16.805241935483799</v>
      </c>
      <c r="N81">
        <v>8.5736559139784898</v>
      </c>
      <c r="O81">
        <v>3.1376344086021501</v>
      </c>
    </row>
    <row r="82" spans="1:15" x14ac:dyDescent="0.25">
      <c r="A82" s="1">
        <v>42614</v>
      </c>
      <c r="B82">
        <v>87.288333333333298</v>
      </c>
      <c r="C82">
        <v>54.715138888888802</v>
      </c>
      <c r="D82">
        <v>142.10638888888801</v>
      </c>
      <c r="E82">
        <v>21.574999999999999</v>
      </c>
      <c r="F82">
        <v>21.5413888888889</v>
      </c>
      <c r="G82">
        <v>12.8995833333333</v>
      </c>
      <c r="H82">
        <v>2.5134722222222199</v>
      </c>
      <c r="I82">
        <v>14.560555555555499</v>
      </c>
      <c r="J82">
        <v>28.194583333333298</v>
      </c>
      <c r="K82">
        <v>42.7575</v>
      </c>
      <c r="L82">
        <v>30.053749999999901</v>
      </c>
      <c r="M82">
        <v>16.755694444444401</v>
      </c>
      <c r="N82">
        <v>8.6743055555555593</v>
      </c>
      <c r="O82">
        <v>3.8216666666666601</v>
      </c>
    </row>
    <row r="83" spans="1:15" x14ac:dyDescent="0.25">
      <c r="A83" s="1">
        <v>42644</v>
      </c>
      <c r="B83">
        <v>108.272849462365</v>
      </c>
      <c r="C83">
        <v>58.282795698924701</v>
      </c>
      <c r="D83">
        <v>166.633198924731</v>
      </c>
      <c r="E83">
        <v>15.257661290322501</v>
      </c>
      <c r="F83">
        <v>24.327822580645101</v>
      </c>
      <c r="G83">
        <v>16.742338709677401</v>
      </c>
      <c r="H83">
        <v>4.9518817204300998</v>
      </c>
      <c r="I83">
        <v>32.376209677419297</v>
      </c>
      <c r="J83">
        <v>33.669086021505301</v>
      </c>
      <c r="K83">
        <v>66.046370967741893</v>
      </c>
      <c r="L83">
        <v>20.027688172043</v>
      </c>
      <c r="M83">
        <v>19.8981182795698</v>
      </c>
      <c r="N83">
        <v>12.0012096774193</v>
      </c>
      <c r="O83">
        <v>3.2204301075268802</v>
      </c>
    </row>
    <row r="84" spans="1:15" x14ac:dyDescent="0.25">
      <c r="A84" s="1">
        <v>42675</v>
      </c>
      <c r="B84">
        <v>139.04430555555501</v>
      </c>
      <c r="C84">
        <v>66.1377777777777</v>
      </c>
      <c r="D84">
        <v>205.26819444444399</v>
      </c>
      <c r="E84">
        <v>15.389305555555501</v>
      </c>
      <c r="F84">
        <v>24.587777777777699</v>
      </c>
      <c r="G84">
        <v>14.518611111111101</v>
      </c>
      <c r="H84">
        <v>6.11370629370629</v>
      </c>
      <c r="I84">
        <v>49.5434722222221</v>
      </c>
      <c r="J84">
        <v>41.354861111111099</v>
      </c>
      <c r="K84">
        <v>90.900416666666601</v>
      </c>
      <c r="L84">
        <v>20.919722222222202</v>
      </c>
      <c r="M84">
        <v>19.1177777777777</v>
      </c>
      <c r="N84">
        <v>11.598055555555501</v>
      </c>
      <c r="O84">
        <v>4.9066666666666698</v>
      </c>
    </row>
    <row r="85" spans="1:15" x14ac:dyDescent="0.25">
      <c r="A85" s="1">
        <v>42705</v>
      </c>
      <c r="B85">
        <v>180.933333333333</v>
      </c>
      <c r="C85">
        <v>69.721908602150506</v>
      </c>
      <c r="D85">
        <v>250.743413978494</v>
      </c>
      <c r="E85">
        <v>11.080510752688101</v>
      </c>
      <c r="F85">
        <v>33.179301075268803</v>
      </c>
      <c r="G85">
        <v>23.883064516129</v>
      </c>
      <c r="H85">
        <v>5.7588075880758796</v>
      </c>
      <c r="I85">
        <v>79.245295698924593</v>
      </c>
      <c r="J85">
        <v>49.569892473118202</v>
      </c>
      <c r="K85">
        <v>128.81465053763401</v>
      </c>
      <c r="L85">
        <v>13.9952956989247</v>
      </c>
      <c r="M85">
        <v>27.1295698924731</v>
      </c>
      <c r="N85">
        <v>20.313306451612899</v>
      </c>
      <c r="O85">
        <v>2.59637096774193</v>
      </c>
    </row>
    <row r="86" spans="1:15" x14ac:dyDescent="0.25">
      <c r="A86" s="1">
        <v>42736</v>
      </c>
      <c r="B86">
        <v>110.42204301075201</v>
      </c>
      <c r="C86">
        <v>71.741666666666603</v>
      </c>
      <c r="D86">
        <v>241.140725806451</v>
      </c>
      <c r="E86">
        <v>12.8344086021505</v>
      </c>
      <c r="F86">
        <v>31.2543010752687</v>
      </c>
      <c r="G86">
        <v>23.8403225806451</v>
      </c>
      <c r="H86">
        <v>8.5405660377358501</v>
      </c>
      <c r="I86">
        <v>51.144623655913897</v>
      </c>
      <c r="J86">
        <v>50.731720430107501</v>
      </c>
      <c r="K86">
        <v>129.15228494623599</v>
      </c>
      <c r="L86">
        <v>16.133736559139798</v>
      </c>
      <c r="M86">
        <v>24.7512096774193</v>
      </c>
      <c r="N86">
        <v>21.332795698924699</v>
      </c>
      <c r="O86">
        <v>3.2630376344086001</v>
      </c>
    </row>
    <row r="87" spans="1:15" x14ac:dyDescent="0.25">
      <c r="A87" s="1">
        <v>42767</v>
      </c>
      <c r="B87">
        <v>57.059821428571396</v>
      </c>
      <c r="C87">
        <v>54.693005952380801</v>
      </c>
      <c r="D87">
        <v>142.142857142857</v>
      </c>
      <c r="E87">
        <v>25.517261904761899</v>
      </c>
      <c r="F87">
        <v>25.618005952380901</v>
      </c>
      <c r="G87">
        <v>18.439583333333299</v>
      </c>
      <c r="H87">
        <v>5.0531249999999899</v>
      </c>
      <c r="I87">
        <v>13.9114583333333</v>
      </c>
      <c r="J87">
        <v>33.915327380952299</v>
      </c>
      <c r="K87">
        <v>55.247619047618997</v>
      </c>
      <c r="L87">
        <v>32.821577380952299</v>
      </c>
      <c r="M87">
        <v>21.211904761904702</v>
      </c>
      <c r="N87">
        <v>16.165624999999999</v>
      </c>
      <c r="O87">
        <v>4.1824404761904699</v>
      </c>
    </row>
    <row r="88" spans="1:15" x14ac:dyDescent="0.25">
      <c r="A88" s="1">
        <v>42795</v>
      </c>
      <c r="B88">
        <v>50.153494623655803</v>
      </c>
      <c r="C88">
        <v>52.864112903225802</v>
      </c>
      <c r="D88">
        <v>129.73534946236501</v>
      </c>
      <c r="E88">
        <v>33.646370967741902</v>
      </c>
      <c r="F88">
        <v>23.0544354838709</v>
      </c>
      <c r="G88">
        <v>13.5346774193548</v>
      </c>
      <c r="H88">
        <v>2.4326145552560501</v>
      </c>
      <c r="I88">
        <v>9.2243279569892405</v>
      </c>
      <c r="J88">
        <v>31.905913978494599</v>
      </c>
      <c r="K88">
        <v>46.124462365591299</v>
      </c>
      <c r="L88">
        <v>43.896236559139702</v>
      </c>
      <c r="M88">
        <v>17.8272849462365</v>
      </c>
      <c r="N88">
        <v>12.0208333333333</v>
      </c>
      <c r="O88">
        <v>3.6216397849462298</v>
      </c>
    </row>
    <row r="89" spans="1:15" x14ac:dyDescent="0.25">
      <c r="A89" s="1">
        <v>42826</v>
      </c>
      <c r="B89">
        <v>40.743194444444399</v>
      </c>
      <c r="C89">
        <v>51.143611111110999</v>
      </c>
      <c r="D89">
        <v>113.62222222222201</v>
      </c>
      <c r="E89">
        <v>38.291944444444503</v>
      </c>
      <c r="F89">
        <v>22.3979166666666</v>
      </c>
      <c r="G89">
        <v>12.796388888888799</v>
      </c>
      <c r="H89">
        <v>3.4105849582172598</v>
      </c>
      <c r="I89">
        <v>7.8554166666666596</v>
      </c>
      <c r="J89">
        <v>28.729027777777699</v>
      </c>
      <c r="K89">
        <v>40.937361111111102</v>
      </c>
      <c r="L89">
        <v>51.2413888888888</v>
      </c>
      <c r="M89">
        <v>17.529999999999902</v>
      </c>
      <c r="N89">
        <v>11.3354166666666</v>
      </c>
      <c r="O89">
        <v>2.90777777777777</v>
      </c>
    </row>
    <row r="90" spans="1:15" x14ac:dyDescent="0.25">
      <c r="A90" s="1">
        <v>42856</v>
      </c>
      <c r="B90">
        <v>39.662231182795701</v>
      </c>
      <c r="C90">
        <v>47.415053763440802</v>
      </c>
      <c r="D90">
        <v>108.193817204301</v>
      </c>
      <c r="E90">
        <v>34.293817204301099</v>
      </c>
      <c r="F90">
        <v>22.330645161290299</v>
      </c>
      <c r="G90">
        <v>12.836559139784899</v>
      </c>
      <c r="H90">
        <v>2.1138627187079302</v>
      </c>
      <c r="I90">
        <v>7.0278225806451502</v>
      </c>
      <c r="J90">
        <v>26.808333333333302</v>
      </c>
      <c r="K90">
        <v>37.584811827956997</v>
      </c>
      <c r="L90">
        <v>48.2591397849462</v>
      </c>
      <c r="M90">
        <v>18.0403225806451</v>
      </c>
      <c r="N90">
        <v>11.389112903225801</v>
      </c>
      <c r="O90">
        <v>3.4454301075268798</v>
      </c>
    </row>
    <row r="91" spans="1:15" x14ac:dyDescent="0.25">
      <c r="A91" s="1">
        <v>42887</v>
      </c>
      <c r="B91">
        <v>36.963888888888803</v>
      </c>
      <c r="C91">
        <v>45.5712499999999</v>
      </c>
      <c r="D91">
        <v>102.24388888888799</v>
      </c>
      <c r="E91">
        <v>34.3477777777778</v>
      </c>
      <c r="F91">
        <v>21.073055555555499</v>
      </c>
      <c r="G91">
        <v>11.4055555555555</v>
      </c>
      <c r="H91">
        <v>1.9284313725490101</v>
      </c>
      <c r="I91">
        <v>5.8174999999999901</v>
      </c>
      <c r="J91">
        <v>22.711666666666599</v>
      </c>
      <c r="K91">
        <v>31.631805555555498</v>
      </c>
      <c r="L91">
        <v>50.590138888888802</v>
      </c>
      <c r="M91">
        <v>16.3888888888889</v>
      </c>
      <c r="N91">
        <v>9.5073611111111092</v>
      </c>
      <c r="O91">
        <v>2.90638888888888</v>
      </c>
    </row>
    <row r="92" spans="1:15" x14ac:dyDescent="0.25">
      <c r="A92" s="1">
        <v>42917</v>
      </c>
      <c r="B92">
        <v>38.242338709677398</v>
      </c>
      <c r="C92">
        <v>41.984543010752702</v>
      </c>
      <c r="D92">
        <v>100.61290322580599</v>
      </c>
      <c r="E92">
        <v>27.476209677419298</v>
      </c>
      <c r="F92">
        <v>17.158198924731099</v>
      </c>
      <c r="G92">
        <v>9.4084677419354694</v>
      </c>
      <c r="H92">
        <v>0.84387617765814305</v>
      </c>
      <c r="I92">
        <v>5.9220430107526898</v>
      </c>
      <c r="J92">
        <v>21.2104838709677</v>
      </c>
      <c r="K92">
        <v>26.712231182795701</v>
      </c>
      <c r="L92">
        <v>42.372446236559099</v>
      </c>
      <c r="M92">
        <v>12.9889784946236</v>
      </c>
      <c r="N92">
        <v>7.54287634408601</v>
      </c>
      <c r="O92">
        <v>3.06962365591398</v>
      </c>
    </row>
    <row r="93" spans="1:15" x14ac:dyDescent="0.25">
      <c r="A93" s="1">
        <v>42948</v>
      </c>
      <c r="B93">
        <v>41.681720430107497</v>
      </c>
      <c r="C93">
        <v>44.256989247311701</v>
      </c>
      <c r="D93">
        <v>108.157930107526</v>
      </c>
      <c r="E93">
        <v>23.564381720430099</v>
      </c>
      <c r="F93">
        <v>17.810483870967701</v>
      </c>
      <c r="G93">
        <v>10.2365591397849</v>
      </c>
      <c r="H93">
        <v>0.55660377358490598</v>
      </c>
      <c r="I93">
        <v>8.2267473118279604</v>
      </c>
      <c r="J93">
        <v>24.4490591397849</v>
      </c>
      <c r="K93">
        <v>33.455779569892499</v>
      </c>
      <c r="L93">
        <v>36.8287634408602</v>
      </c>
      <c r="M93">
        <v>13.838709677419301</v>
      </c>
      <c r="N93">
        <v>8.6799731182795608</v>
      </c>
      <c r="O93">
        <v>1.36572580645161</v>
      </c>
    </row>
    <row r="94" spans="1:15" x14ac:dyDescent="0.25">
      <c r="A94" s="1">
        <v>42979</v>
      </c>
      <c r="B94">
        <v>48.092222222222198</v>
      </c>
      <c r="C94">
        <v>47.834583333333299</v>
      </c>
      <c r="D94">
        <v>121.567083333333</v>
      </c>
      <c r="E94">
        <v>20.239999999999899</v>
      </c>
      <c r="F94">
        <v>19.244583333333299</v>
      </c>
      <c r="G94">
        <v>12.0875</v>
      </c>
      <c r="H94">
        <v>1.7807799442896901</v>
      </c>
      <c r="I94">
        <v>10.1940277777777</v>
      </c>
      <c r="J94">
        <v>27.709861111111</v>
      </c>
      <c r="K94">
        <v>39.2748611111111</v>
      </c>
      <c r="L94">
        <v>31.186250000000001</v>
      </c>
      <c r="M94">
        <v>14.133749999999999</v>
      </c>
      <c r="N94">
        <v>10.383749999999999</v>
      </c>
      <c r="O94">
        <v>1.3315277777777701</v>
      </c>
    </row>
    <row r="95" spans="1:15" x14ac:dyDescent="0.25">
      <c r="A95" s="1">
        <v>43009</v>
      </c>
      <c r="B95">
        <v>51.691532258064399</v>
      </c>
      <c r="C95">
        <v>47.443279569892397</v>
      </c>
      <c r="D95">
        <v>126.69690860215</v>
      </c>
      <c r="E95">
        <v>22.813306451612799</v>
      </c>
      <c r="F95">
        <v>19.9731182795698</v>
      </c>
      <c r="G95">
        <v>10.863440860215</v>
      </c>
      <c r="H95">
        <v>1.58948787061994</v>
      </c>
      <c r="I95">
        <v>13.728629032258</v>
      </c>
      <c r="J95">
        <v>28.503091397849399</v>
      </c>
      <c r="K95">
        <v>45.5903225806452</v>
      </c>
      <c r="L95">
        <v>32.024193548387103</v>
      </c>
      <c r="M95">
        <v>15.5682795698924</v>
      </c>
      <c r="N95">
        <v>9.2807795698924807</v>
      </c>
      <c r="O95">
        <v>3.2677419354838699</v>
      </c>
    </row>
    <row r="96" spans="1:15" x14ac:dyDescent="0.25">
      <c r="A96" s="1">
        <v>43040</v>
      </c>
      <c r="B96">
        <v>69.779722222222304</v>
      </c>
      <c r="C96">
        <v>57.014583333333299</v>
      </c>
      <c r="D96">
        <v>164.06916666666601</v>
      </c>
      <c r="E96">
        <v>17.071388888888901</v>
      </c>
      <c r="F96">
        <v>22.804583333333301</v>
      </c>
      <c r="G96">
        <v>13.383055555555501</v>
      </c>
      <c r="H96">
        <v>4.5489114658926102</v>
      </c>
      <c r="I96">
        <v>24.659583333333298</v>
      </c>
      <c r="J96">
        <v>38.626388888888798</v>
      </c>
      <c r="K96">
        <v>76.438749999999999</v>
      </c>
      <c r="L96">
        <v>23.812499999999901</v>
      </c>
      <c r="M96">
        <v>17.488611111111101</v>
      </c>
      <c r="N96">
        <v>11.761944444444399</v>
      </c>
      <c r="O96">
        <v>2.9197222222222199</v>
      </c>
    </row>
    <row r="97" spans="1:15" x14ac:dyDescent="0.25">
      <c r="A97" s="1">
        <v>43070</v>
      </c>
      <c r="B97">
        <v>57.133602150537598</v>
      </c>
      <c r="C97">
        <v>52.852688172043003</v>
      </c>
      <c r="D97">
        <v>140.50967741935401</v>
      </c>
      <c r="E97">
        <v>21.817741935483799</v>
      </c>
      <c r="F97">
        <v>17.506182795698901</v>
      </c>
      <c r="G97">
        <v>9.8844086021505202</v>
      </c>
      <c r="H97">
        <v>5.5662618083670701</v>
      </c>
      <c r="I97">
        <v>17.500134408602101</v>
      </c>
      <c r="J97">
        <v>36.142069892473103</v>
      </c>
      <c r="K97">
        <v>62.975806451612897</v>
      </c>
      <c r="L97">
        <v>28.793010752688101</v>
      </c>
      <c r="M97">
        <v>13.048118279569801</v>
      </c>
      <c r="N97">
        <v>9.3951612903225694</v>
      </c>
      <c r="O97">
        <v>1.9512096774193499</v>
      </c>
    </row>
    <row r="98" spans="1:15" x14ac:dyDescent="0.25">
      <c r="A98" s="1">
        <v>43101</v>
      </c>
      <c r="B98">
        <v>46.029032258064497</v>
      </c>
      <c r="C98">
        <v>47.287768817204302</v>
      </c>
      <c r="D98">
        <v>117.85954301075201</v>
      </c>
      <c r="E98">
        <v>26.4327956989247</v>
      </c>
      <c r="F98">
        <v>19.2533602150537</v>
      </c>
      <c r="G98">
        <v>10.281989247311801</v>
      </c>
      <c r="H98">
        <v>2.9611859838274901</v>
      </c>
      <c r="I98">
        <v>13.944220430107499</v>
      </c>
      <c r="J98">
        <v>32.0879032258064</v>
      </c>
      <c r="K98">
        <v>49.220026881720301</v>
      </c>
      <c r="L98">
        <v>35.781317204300997</v>
      </c>
      <c r="M98">
        <v>14.949327956989199</v>
      </c>
      <c r="N98">
        <v>10.8122311827956</v>
      </c>
      <c r="O98">
        <v>2.0213709677419298</v>
      </c>
    </row>
    <row r="99" spans="1:15" x14ac:dyDescent="0.25">
      <c r="A99" s="1">
        <v>43132</v>
      </c>
      <c r="B99">
        <v>47.602380952380898</v>
      </c>
      <c r="C99">
        <v>51.4686011904762</v>
      </c>
      <c r="D99">
        <v>124.453422619047</v>
      </c>
      <c r="E99">
        <v>26.071874999999899</v>
      </c>
      <c r="F99">
        <v>23.483482142857099</v>
      </c>
      <c r="G99">
        <v>11.918303571428501</v>
      </c>
      <c r="H99">
        <v>3.0877611940298402</v>
      </c>
      <c r="I99">
        <v>12.791369047619</v>
      </c>
      <c r="J99">
        <v>35.220982142857103</v>
      </c>
      <c r="K99">
        <v>51.398363095237997</v>
      </c>
      <c r="L99">
        <v>36.339136904761801</v>
      </c>
      <c r="M99">
        <v>16.864136904761899</v>
      </c>
      <c r="N99">
        <v>12.460119047618999</v>
      </c>
      <c r="O99">
        <v>1.4918154761904701</v>
      </c>
    </row>
    <row r="100" spans="1:15" x14ac:dyDescent="0.25">
      <c r="A100" s="1">
        <v>43160</v>
      </c>
      <c r="B100">
        <v>41.5369623655914</v>
      </c>
      <c r="C100">
        <v>51.069623655913901</v>
      </c>
      <c r="D100">
        <v>114.755779569892</v>
      </c>
      <c r="E100">
        <v>29.823252688172001</v>
      </c>
      <c r="F100">
        <v>26.2915322580645</v>
      </c>
      <c r="G100">
        <v>14.989919354838699</v>
      </c>
      <c r="H100">
        <v>4.0002691790040297</v>
      </c>
      <c r="I100">
        <v>10.321370967741901</v>
      </c>
      <c r="J100">
        <v>34.374999999999901</v>
      </c>
      <c r="K100">
        <v>46.165725806451498</v>
      </c>
      <c r="L100">
        <v>42.424731182795597</v>
      </c>
      <c r="M100">
        <v>20.232258064516099</v>
      </c>
      <c r="N100">
        <v>13.5895161290322</v>
      </c>
      <c r="O100">
        <v>1.83306451612903</v>
      </c>
    </row>
    <row r="101" spans="1:15" x14ac:dyDescent="0.25">
      <c r="A101" s="1">
        <v>43191</v>
      </c>
      <c r="B101">
        <v>34.794305555555503</v>
      </c>
      <c r="C101">
        <v>46.778055555555497</v>
      </c>
      <c r="D101">
        <v>100.12347222222201</v>
      </c>
      <c r="E101">
        <v>35.509583333333303</v>
      </c>
      <c r="F101">
        <v>25.677916666666601</v>
      </c>
      <c r="G101">
        <v>16.844861111111101</v>
      </c>
      <c r="H101">
        <v>1.26392757660167</v>
      </c>
      <c r="I101">
        <v>7.3083333333333398</v>
      </c>
      <c r="J101">
        <v>28.695416666666599</v>
      </c>
      <c r="K101">
        <v>36.6076388888889</v>
      </c>
      <c r="L101">
        <v>50.561111111111003</v>
      </c>
      <c r="M101">
        <v>20.746111111111102</v>
      </c>
      <c r="N101">
        <v>14.615416666666601</v>
      </c>
      <c r="O101">
        <v>1.0791666666666599</v>
      </c>
    </row>
    <row r="102" spans="1:15" x14ac:dyDescent="0.25">
      <c r="A102" s="1">
        <v>43221</v>
      </c>
      <c r="B102">
        <v>32.576881720430002</v>
      </c>
      <c r="C102">
        <v>49.315053763440801</v>
      </c>
      <c r="D102">
        <v>99.265456989247298</v>
      </c>
      <c r="E102">
        <v>40.938844086021497</v>
      </c>
      <c r="F102">
        <v>29.308064516129001</v>
      </c>
      <c r="G102">
        <v>18.899999999999999</v>
      </c>
      <c r="H102">
        <v>1.40998650472334</v>
      </c>
      <c r="I102">
        <v>6.0479838709677498</v>
      </c>
      <c r="J102">
        <v>28.275134408602099</v>
      </c>
      <c r="K102">
        <v>35.089247311827897</v>
      </c>
      <c r="L102">
        <v>59.8263440860214</v>
      </c>
      <c r="M102">
        <v>24.0150537634408</v>
      </c>
      <c r="N102">
        <v>16.132392473118198</v>
      </c>
      <c r="O102">
        <v>3.80846774193548</v>
      </c>
    </row>
    <row r="103" spans="1:15" x14ac:dyDescent="0.25">
      <c r="A103" s="1">
        <v>43252</v>
      </c>
      <c r="B103">
        <v>27.935833333333299</v>
      </c>
      <c r="C103">
        <v>39.4051388888888</v>
      </c>
      <c r="D103">
        <v>82.235138888888798</v>
      </c>
      <c r="E103">
        <v>36.491666666666603</v>
      </c>
      <c r="F103">
        <v>21.252361111111099</v>
      </c>
      <c r="G103">
        <v>10.441249999999901</v>
      </c>
      <c r="H103">
        <v>2.6542657342657301</v>
      </c>
      <c r="I103">
        <v>4.6565277777777698</v>
      </c>
      <c r="J103">
        <v>20.050416666666599</v>
      </c>
      <c r="K103">
        <v>25.6420833333333</v>
      </c>
      <c r="L103">
        <v>55.542777777777701</v>
      </c>
      <c r="M103">
        <v>16.621388888888902</v>
      </c>
      <c r="N103">
        <v>8.7395833333333304</v>
      </c>
      <c r="O103">
        <v>1.9648611111111101</v>
      </c>
    </row>
    <row r="104" spans="1:15" x14ac:dyDescent="0.25">
      <c r="A104" s="1">
        <v>43282</v>
      </c>
      <c r="B104">
        <v>27.211155913978399</v>
      </c>
      <c r="C104">
        <v>45.512096774193502</v>
      </c>
      <c r="D104">
        <v>87.235618279569806</v>
      </c>
      <c r="E104">
        <v>38.081586021505302</v>
      </c>
      <c r="F104">
        <v>22.919354838709602</v>
      </c>
      <c r="G104">
        <v>11.8088709677419</v>
      </c>
      <c r="H104">
        <v>-1.68694481830417</v>
      </c>
      <c r="I104">
        <v>4.17204301075268</v>
      </c>
      <c r="J104">
        <v>23.3056451612903</v>
      </c>
      <c r="K104">
        <v>27.626881720430099</v>
      </c>
      <c r="L104">
        <v>62.561827956989298</v>
      </c>
      <c r="M104">
        <v>18.618279569892401</v>
      </c>
      <c r="N104">
        <v>10.083064516128999</v>
      </c>
      <c r="O104">
        <v>2.43669354838709</v>
      </c>
    </row>
    <row r="105" spans="1:15" x14ac:dyDescent="0.25">
      <c r="A105" s="1">
        <v>43313</v>
      </c>
      <c r="B105">
        <v>33.125</v>
      </c>
      <c r="C105">
        <v>38.950403225806397</v>
      </c>
      <c r="D105">
        <v>89.741935483870904</v>
      </c>
      <c r="E105">
        <v>22.498118279569798</v>
      </c>
      <c r="F105">
        <v>16.284946236559101</v>
      </c>
      <c r="G105">
        <v>7.8978494623655804</v>
      </c>
      <c r="H105">
        <v>1.77244623655914</v>
      </c>
      <c r="I105">
        <v>5.8939516129032201</v>
      </c>
      <c r="J105">
        <v>20.524462365591301</v>
      </c>
      <c r="K105">
        <v>27.563172043010699</v>
      </c>
      <c r="L105">
        <v>37.3075268817203</v>
      </c>
      <c r="M105">
        <v>11.926881720430099</v>
      </c>
      <c r="N105">
        <v>6.3946236559139802</v>
      </c>
      <c r="O105">
        <v>1.9474462365591401</v>
      </c>
    </row>
    <row r="106" spans="1:15" x14ac:dyDescent="0.25">
      <c r="A106" s="1">
        <v>43344</v>
      </c>
      <c r="B106">
        <v>39.063333333333297</v>
      </c>
      <c r="C106">
        <v>43.906388888888799</v>
      </c>
      <c r="D106">
        <v>103.810555555555</v>
      </c>
      <c r="E106">
        <v>26.625555555555501</v>
      </c>
      <c r="F106">
        <v>18.8961111111111</v>
      </c>
      <c r="G106">
        <v>9.7383333333333493</v>
      </c>
      <c r="H106">
        <v>0.34333333333333199</v>
      </c>
      <c r="I106">
        <v>10.2284722222222</v>
      </c>
      <c r="J106">
        <v>25.935833333333299</v>
      </c>
      <c r="K106">
        <v>39.5561111111111</v>
      </c>
      <c r="L106">
        <v>40.955138888888797</v>
      </c>
      <c r="M106">
        <v>14.2587499999999</v>
      </c>
      <c r="N106">
        <v>7.8948611111111102</v>
      </c>
      <c r="O106">
        <v>1.1570833333333299</v>
      </c>
    </row>
    <row r="107" spans="1:15" x14ac:dyDescent="0.25">
      <c r="A107" s="1">
        <v>43374</v>
      </c>
      <c r="B107">
        <v>48.6434139784946</v>
      </c>
      <c r="C107">
        <v>46.765456989247298</v>
      </c>
      <c r="D107">
        <v>121.36088709677399</v>
      </c>
      <c r="E107">
        <v>19.5010752688171</v>
      </c>
      <c r="F107">
        <v>19.339247311827901</v>
      </c>
      <c r="G107">
        <v>11.509408602150501</v>
      </c>
      <c r="H107">
        <v>-0.79434724091521003</v>
      </c>
      <c r="I107">
        <v>13.6227150537634</v>
      </c>
      <c r="J107">
        <v>29.816129032258001</v>
      </c>
      <c r="K107">
        <v>48.680779569892401</v>
      </c>
      <c r="L107">
        <v>30.2845430107526</v>
      </c>
      <c r="M107">
        <v>14.793817204301</v>
      </c>
      <c r="N107">
        <v>8.9692204301075193</v>
      </c>
      <c r="O107">
        <v>2.8439516129032198</v>
      </c>
    </row>
    <row r="108" spans="1:15" x14ac:dyDescent="0.25">
      <c r="A108" s="1">
        <v>43405</v>
      </c>
      <c r="B108">
        <v>52.535833333333301</v>
      </c>
      <c r="C108">
        <v>47.584027777777699</v>
      </c>
      <c r="D108">
        <v>128.13430555555499</v>
      </c>
      <c r="E108">
        <v>17.159583333333298</v>
      </c>
      <c r="F108">
        <v>23.6</v>
      </c>
      <c r="G108">
        <v>15.2076388888888</v>
      </c>
      <c r="H108">
        <v>5.8850349650349703</v>
      </c>
      <c r="I108">
        <v>18.285833333333301</v>
      </c>
      <c r="J108">
        <v>33.872638888888801</v>
      </c>
      <c r="K108">
        <v>57.820555555555501</v>
      </c>
      <c r="L108">
        <v>24.262361111111002</v>
      </c>
      <c r="M108">
        <v>19.425277777777701</v>
      </c>
      <c r="N108">
        <v>13.525694444444399</v>
      </c>
      <c r="O108">
        <v>2.39333333333333</v>
      </c>
    </row>
    <row r="109" spans="1:15" x14ac:dyDescent="0.25">
      <c r="A109" s="1">
        <v>43435</v>
      </c>
      <c r="B109">
        <v>51.264112903225701</v>
      </c>
      <c r="C109">
        <v>47.755779569892397</v>
      </c>
      <c r="D109">
        <v>126.34354838709601</v>
      </c>
      <c r="E109">
        <v>22.682258064516098</v>
      </c>
      <c r="F109">
        <v>20.2963709677419</v>
      </c>
      <c r="G109">
        <v>11.6254032258064</v>
      </c>
      <c r="H109">
        <v>2.3163444639718702</v>
      </c>
      <c r="I109">
        <v>19.135618279569801</v>
      </c>
      <c r="J109">
        <v>32.771505376344003</v>
      </c>
      <c r="K109">
        <v>61.092069892472999</v>
      </c>
      <c r="L109">
        <v>30.221774193548299</v>
      </c>
      <c r="M109">
        <v>15.5611559139784</v>
      </c>
      <c r="N109">
        <v>9.8670698924731095</v>
      </c>
      <c r="O109">
        <v>1.98588709677419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E3" sqref="E3"/>
    </sheetView>
  </sheetViews>
  <sheetFormatPr defaultRowHeight="15" x14ac:dyDescent="0.25"/>
  <cols>
    <col min="2" max="2" width="22" customWidth="1"/>
  </cols>
  <sheetData>
    <row r="1" spans="1:2" x14ac:dyDescent="0.25">
      <c r="A1" s="3" t="s">
        <v>16</v>
      </c>
      <c r="B1" s="3">
        <v>13</v>
      </c>
    </row>
    <row r="2" spans="1:2" x14ac:dyDescent="0.25">
      <c r="A2" s="3" t="s">
        <v>17</v>
      </c>
      <c r="B2" s="3">
        <v>0.06</v>
      </c>
    </row>
    <row r="3" spans="1:2" x14ac:dyDescent="0.25">
      <c r="A3" t="s">
        <v>19</v>
      </c>
    </row>
    <row r="5" spans="1:2" x14ac:dyDescent="0.25">
      <c r="A5" s="3" t="s">
        <v>20</v>
      </c>
      <c r="B5" s="3"/>
    </row>
    <row r="7" spans="1:2" ht="15.75" x14ac:dyDescent="0.25">
      <c r="A7" s="2" t="s">
        <v>15</v>
      </c>
      <c r="B7" s="2" t="s">
        <v>18</v>
      </c>
    </row>
    <row r="8" spans="1:2" x14ac:dyDescent="0.25">
      <c r="A8" s="3">
        <f>'monthly-averages'!O2</f>
        <v>4.2045698924731099</v>
      </c>
      <c r="B8" s="3">
        <f>BINOMDIST(A8,B1,B2,1)</f>
        <v>0.99933456439979063</v>
      </c>
    </row>
    <row r="9" spans="1:2" x14ac:dyDescent="0.25">
      <c r="A9" s="3">
        <f>'monthly-averages'!O3</f>
        <v>3.2309523809523801</v>
      </c>
      <c r="B9" s="3">
        <f>BINOMDIST(A9,B1,B2,)</f>
        <v>3.3273487288326534E-2</v>
      </c>
    </row>
    <row r="10" spans="1:2" x14ac:dyDescent="0.25">
      <c r="A10" s="3">
        <f>'monthly-averages'!O4</f>
        <v>2.69690860215053</v>
      </c>
      <c r="B10" s="3">
        <f>BINOMDIST(A10,B1,B2,TRUE)</f>
        <v>0.96075147807609285</v>
      </c>
    </row>
    <row r="11" spans="1:2" x14ac:dyDescent="0.25">
      <c r="A11" s="3">
        <f>'monthly-averages'!O5</f>
        <v>4.12361111111111</v>
      </c>
      <c r="B11" s="3">
        <f>BINOMDIST(A11,B1,B2,TRUE)</f>
        <v>0.99933456439979063</v>
      </c>
    </row>
    <row r="12" spans="1:2" x14ac:dyDescent="0.25">
      <c r="A12" s="3">
        <f>'monthly-averages'!O6</f>
        <v>3.1751344086021498</v>
      </c>
      <c r="B12" s="3">
        <f>BINOMDIST(A12,B1,B2,FALSE)</f>
        <v>3.3273487288326534E-2</v>
      </c>
    </row>
    <row r="13" spans="1:2" x14ac:dyDescent="0.25">
      <c r="A13" s="3">
        <f>'monthly-averages'!O7</f>
        <v>3.1831944444444402</v>
      </c>
      <c r="B13" s="3">
        <f>BINOMDIST(A13,B1,B2,FALSE)</f>
        <v>3.3273487288326534E-2</v>
      </c>
    </row>
    <row r="14" spans="1:2" x14ac:dyDescent="0.25">
      <c r="A14" s="3">
        <f>'monthly-averages'!O8</f>
        <v>2.6235215053763401</v>
      </c>
      <c r="B14" s="3">
        <f>BINOMDIST(A14,B1,B2,)</f>
        <v>0.14216853659557702</v>
      </c>
    </row>
    <row r="15" spans="1:2" x14ac:dyDescent="0.25">
      <c r="A15" s="3">
        <f>'monthly-averages'!O9</f>
        <v>1.9862903225806401</v>
      </c>
      <c r="B15" s="3">
        <f>BINOMDIST(A15,B1,B2,FALSE)</f>
        <v>0.37121784555511766</v>
      </c>
    </row>
    <row r="16" spans="1:2" x14ac:dyDescent="0.25">
      <c r="A16" s="3">
        <f>'monthly-averages'!O10</f>
        <v>2.6813888888888799</v>
      </c>
      <c r="B16" s="3">
        <f>BINOMDIST(A16,B1,B2,FALSE)</f>
        <v>0.14216853659557702</v>
      </c>
    </row>
    <row r="17" spans="1:2" x14ac:dyDescent="0.25">
      <c r="A17" s="3">
        <f>'monthly-averages'!O11</f>
        <v>2.7427419354838598</v>
      </c>
      <c r="B17" s="3">
        <f>BINOMDIST(A17,B1,B2,)</f>
        <v>0.14216853659557702</v>
      </c>
    </row>
    <row r="18" spans="1:2" x14ac:dyDescent="0.25">
      <c r="A18" s="3">
        <f>'monthly-averages'!O12</f>
        <v>3.6854166666666601</v>
      </c>
      <c r="B18" s="3">
        <f>BINOMDIST(A18,B1,B2,)</f>
        <v>3.3273487288326534E-2</v>
      </c>
    </row>
    <row r="19" spans="1:2" x14ac:dyDescent="0.25">
      <c r="A19" s="3">
        <f>'monthly-averages'!O13</f>
        <v>3.68360215053763</v>
      </c>
      <c r="B19" s="3">
        <f>BINOMDIST(A19,B1,B2,FALSE)</f>
        <v>3.3273487288326534E-2</v>
      </c>
    </row>
    <row r="20" spans="1:2" x14ac:dyDescent="0.25">
      <c r="A20" s="3">
        <f>'monthly-averages'!O14</f>
        <v>3.4618279569892398</v>
      </c>
      <c r="B20" s="3">
        <f>BINOMDIST(A20,B1,B2,)</f>
        <v>3.3273487288326534E-2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monthly-averages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2022-03-29T06:56:52Z</dcterms:created>
  <dcterms:modified xsi:type="dcterms:W3CDTF">2022-03-29T06:57:37Z</dcterms:modified>
</cp:coreProperties>
</file>